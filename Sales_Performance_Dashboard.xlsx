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dfb718e185dee9/Desktop/DA project ideas/Project 1 - Sales Performance/"/>
    </mc:Choice>
  </mc:AlternateContent>
  <xr:revisionPtr revIDLastSave="0" documentId="8_{EB800378-88AE-48FA-873C-ECB65F610FE7}" xr6:coauthVersionLast="47" xr6:coauthVersionMax="47" xr10:uidLastSave="{00000000-0000-0000-0000-000000000000}"/>
  <bookViews>
    <workbookView xWindow="-108" yWindow="-108" windowWidth="23256" windowHeight="13896" activeTab="1" xr2:uid="{ADFF384A-537F-475E-8D73-01B1B596384A}"/>
  </bookViews>
  <sheets>
    <sheet name="Customer order Analysis Dataset" sheetId="1" r:id="rId1"/>
    <sheet name="Dashboard" sheetId="9" r:id="rId2"/>
    <sheet name="Overall Business KPIs" sheetId="2" r:id="rId3"/>
    <sheet name="Top 10 Customers" sheetId="4" r:id="rId4"/>
    <sheet name="City-wise Sales" sheetId="5" r:id="rId5"/>
    <sheet name="Product-wise Sales" sheetId="6" r:id="rId6"/>
    <sheet name="Category-wise Profit" sheetId="7" r:id="rId7"/>
    <sheet name="Monthly Revenue" sheetId="8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<sst xmlns="http://schemas.openxmlformats.org/spreadsheetml/2006/main" count="480" uniqueCount="157">
  <si>
    <t>Order ID</t>
  </si>
  <si>
    <t>Order Date</t>
  </si>
  <si>
    <t>Customer Name</t>
  </si>
  <si>
    <t>City</t>
  </si>
  <si>
    <t>Product</t>
  </si>
  <si>
    <t>Category</t>
  </si>
  <si>
    <t>Quantity</t>
  </si>
  <si>
    <t>Unit Price</t>
  </si>
  <si>
    <t>Cost per Unit</t>
  </si>
  <si>
    <t>Discount (%)</t>
  </si>
  <si>
    <t>Sales</t>
  </si>
  <si>
    <t>Cost</t>
  </si>
  <si>
    <t>Profit</t>
  </si>
  <si>
    <t>Aarav Sharma</t>
  </si>
  <si>
    <t>Chennai</t>
  </si>
  <si>
    <t>Laptop</t>
  </si>
  <si>
    <t>Electronics</t>
  </si>
  <si>
    <t>Akash Kumar</t>
  </si>
  <si>
    <t>Bangalore</t>
  </si>
  <si>
    <t>Mobile</t>
  </si>
  <si>
    <t>Akhil Reddy</t>
  </si>
  <si>
    <t>Hyderabad</t>
  </si>
  <si>
    <t>Headphones</t>
  </si>
  <si>
    <t>Amit Verma</t>
  </si>
  <si>
    <t>Mumbai</t>
  </si>
  <si>
    <t>Keyboard</t>
  </si>
  <si>
    <t>Ananya Iyer</t>
  </si>
  <si>
    <t>Pune</t>
  </si>
  <si>
    <t>Mouse</t>
  </si>
  <si>
    <t>Arjun Nair</t>
  </si>
  <si>
    <t>Delhi</t>
  </si>
  <si>
    <t>Printer</t>
  </si>
  <si>
    <t>Office</t>
  </si>
  <si>
    <t>Arun Kumar</t>
  </si>
  <si>
    <t>Kolkata</t>
  </si>
  <si>
    <t>Monitor</t>
  </si>
  <si>
    <t>Ashwin Raj</t>
  </si>
  <si>
    <t>Coimbatore</t>
  </si>
  <si>
    <t>Chair</t>
  </si>
  <si>
    <t>Furniture</t>
  </si>
  <si>
    <t>Bala Murugan</t>
  </si>
  <si>
    <t>Desk</t>
  </si>
  <si>
    <t>Bharath Kumar</t>
  </si>
  <si>
    <t>Notebook</t>
  </si>
  <si>
    <t>Stationery</t>
  </si>
  <si>
    <t>Charan Teja</t>
  </si>
  <si>
    <t>Pen</t>
  </si>
  <si>
    <t>Deepak Singh</t>
  </si>
  <si>
    <t>Backpack</t>
  </si>
  <si>
    <t>Accessories</t>
  </si>
  <si>
    <t>Dhanush Kumar</t>
  </si>
  <si>
    <t>Divya Priya</t>
  </si>
  <si>
    <t>Gokul Raj</t>
  </si>
  <si>
    <t>Gopal Krishna</t>
  </si>
  <si>
    <t>Hari Prasad</t>
  </si>
  <si>
    <t>Harini Devi</t>
  </si>
  <si>
    <t>Ishaan Mehta</t>
  </si>
  <si>
    <t>Jai Prakash</t>
  </si>
  <si>
    <t>Janani Ravi</t>
  </si>
  <si>
    <t>Jeeva Kumar</t>
  </si>
  <si>
    <t>Kannan Raj</t>
  </si>
  <si>
    <t>Karthick S</t>
  </si>
  <si>
    <t>Karthika Devi</t>
  </si>
  <si>
    <t>Kavya Nair</t>
  </si>
  <si>
    <t>Keerthana M</t>
  </si>
  <si>
    <t>Kishore Kumar</t>
  </si>
  <si>
    <t>Krish Patel</t>
  </si>
  <si>
    <t>Lakshmi Priya</t>
  </si>
  <si>
    <t>Lokesh Kumar</t>
  </si>
  <si>
    <t>Madhan Kumar</t>
  </si>
  <si>
    <t>Mahesh Babu</t>
  </si>
  <si>
    <t>Manoj Kumar</t>
  </si>
  <si>
    <t>Meena Kumari</t>
  </si>
  <si>
    <t>Mithun Raj</t>
  </si>
  <si>
    <t>Mohan Raj</t>
  </si>
  <si>
    <t>Monika Sharma</t>
  </si>
  <si>
    <t>Mukesh Kumar</t>
  </si>
  <si>
    <t>Nandhini S</t>
  </si>
  <si>
    <t>Naveen Kumar</t>
  </si>
  <si>
    <t>Nikhil Reddy</t>
  </si>
  <si>
    <t>Nisha Patel</t>
  </si>
  <si>
    <t>Pooja Sharma</t>
  </si>
  <si>
    <t>Prabhu Kumar</t>
  </si>
  <si>
    <t>Pradeep Kumar</t>
  </si>
  <si>
    <t>Prakash Raj</t>
  </si>
  <si>
    <t>Pranav Singh</t>
  </si>
  <si>
    <t>Preethi R</t>
  </si>
  <si>
    <t>Priya Nair</t>
  </si>
  <si>
    <t>Rahul Verma</t>
  </si>
  <si>
    <t>Raj Kumar</t>
  </si>
  <si>
    <t>Rajesh Kumar</t>
  </si>
  <si>
    <t>Rakshith Gowda</t>
  </si>
  <si>
    <t>Ram Kumar</t>
  </si>
  <si>
    <t>Ramesh Babu</t>
  </si>
  <si>
    <t>Ranjith Kumar</t>
  </si>
  <si>
    <t>Ravi Chandran</t>
  </si>
  <si>
    <t>Reshma Devi</t>
  </si>
  <si>
    <t>Riya Sharma</t>
  </si>
  <si>
    <t>Rohit Gupta</t>
  </si>
  <si>
    <t>Sai Kiran</t>
  </si>
  <si>
    <t>Sakshi Jain</t>
  </si>
  <si>
    <t>Sanjay Kumar</t>
  </si>
  <si>
    <t>Saranya M</t>
  </si>
  <si>
    <t>Sathish Kumar</t>
  </si>
  <si>
    <t>Shalini R</t>
  </si>
  <si>
    <t>Shankar Raj</t>
  </si>
  <si>
    <t>Sharath Kumar</t>
  </si>
  <si>
    <t>Shivani Mehta</t>
  </si>
  <si>
    <t>Shruthi Nair</t>
  </si>
  <si>
    <t>Siva Kumar</t>
  </si>
  <si>
    <t>Sneha Patel</t>
  </si>
  <si>
    <t>Sriram K</t>
  </si>
  <si>
    <t>Subash Kumar</t>
  </si>
  <si>
    <t>Sudha Priya</t>
  </si>
  <si>
    <t>Sumanth Reddy</t>
  </si>
  <si>
    <t>Sunil Kumar</t>
  </si>
  <si>
    <t>Suraj Singh</t>
  </si>
  <si>
    <t>Suresh Kumar</t>
  </si>
  <si>
    <t>Swathi R</t>
  </si>
  <si>
    <t>Tejaswini M</t>
  </si>
  <si>
    <t>Uday Kumar</t>
  </si>
  <si>
    <t>Vaibhav Singh</t>
  </si>
  <si>
    <t>Varsha Nair</t>
  </si>
  <si>
    <t>Vasanth Kumar</t>
  </si>
  <si>
    <t>Venkatesh R</t>
  </si>
  <si>
    <t>Vignesh Kumar</t>
  </si>
  <si>
    <t>Vijay Kumar</t>
  </si>
  <si>
    <t>Vikram Singh</t>
  </si>
  <si>
    <t>Vinay Kumar</t>
  </si>
  <si>
    <t>Vinitha S</t>
  </si>
  <si>
    <t>Vishal Gupta</t>
  </si>
  <si>
    <t>Vivek Sharma</t>
  </si>
  <si>
    <t>Yamini Devi</t>
  </si>
  <si>
    <t>Yash Patel</t>
  </si>
  <si>
    <t>Yogesh Kumar</t>
  </si>
  <si>
    <t>Yuvaraj S</t>
  </si>
  <si>
    <t>Zara Khan</t>
  </si>
  <si>
    <t>Zubin Patel</t>
  </si>
  <si>
    <t>Row Labels</t>
  </si>
  <si>
    <t>Grand Total</t>
  </si>
  <si>
    <t>Sum of Sales</t>
  </si>
  <si>
    <t>Sum of Profit</t>
  </si>
  <si>
    <t>Sum of Cost</t>
  </si>
  <si>
    <t>Sum of Quantity</t>
  </si>
  <si>
    <t>Mar</t>
  </si>
  <si>
    <t>Apr</t>
  </si>
  <si>
    <t>May</t>
  </si>
  <si>
    <t>Jun</t>
  </si>
  <si>
    <t>2025</t>
  </si>
  <si>
    <t>Top 10 Customers</t>
  </si>
  <si>
    <t>City-wise Sales</t>
  </si>
  <si>
    <t>Product-wise Sales</t>
  </si>
  <si>
    <t>Category-wise Profit</t>
  </si>
  <si>
    <t>Monthly Revenue</t>
  </si>
  <si>
    <t>s</t>
  </si>
  <si>
    <t>Sales Performance Dashboard (Excel)</t>
  </si>
  <si>
    <t xml:space="preserve">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</si>
</sst>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3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4" fontId="0" fillId="0" borderId="17" xfId="0" applyNumberFormat="1" applyBorder="1"/>
    <xf numFmtId="0" fontId="0" fillId="0" borderId="17" xfId="0" applyBorder="1"/>
    <xf numFmtId="3" fontId="0" fillId="0" borderId="17" xfId="0" applyNumberFormat="1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 (Excel) Project.xlsx]Top 10 Customers!PivotTable2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Customers 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692869641294838"/>
          <c:y val="0.18009883198562443"/>
          <c:w val="0.73062685914260717"/>
          <c:h val="0.7295226068439558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Customers'!$A$4:$A$14</c:f>
              <c:strCache>
                <c:ptCount val="10"/>
                <c:pt idx="0">
                  <c:v>Rohit Gupta</c:v>
                </c:pt>
                <c:pt idx="1">
                  <c:v>Mohan Raj</c:v>
                </c:pt>
                <c:pt idx="2">
                  <c:v>Sneha Patel</c:v>
                </c:pt>
                <c:pt idx="3">
                  <c:v>Preethi R</c:v>
                </c:pt>
                <c:pt idx="4">
                  <c:v>Karthika Devi</c:v>
                </c:pt>
                <c:pt idx="5">
                  <c:v>Dhanush Kumar</c:v>
                </c:pt>
                <c:pt idx="6">
                  <c:v>Kavya Nair</c:v>
                </c:pt>
                <c:pt idx="7">
                  <c:v>Sai Kiran</c:v>
                </c:pt>
                <c:pt idx="8">
                  <c:v>Monika Sharma</c:v>
                </c:pt>
                <c:pt idx="9">
                  <c:v>Sriram K</c:v>
                </c:pt>
              </c:strCache>
            </c:strRef>
          </c:cat>
          <c:val>
            <c:numRef>
              <c:f>'Top 10 Customers'!$B$4:$B$14</c:f>
              <c:numCache>
                <c:formatCode>General</c:formatCode>
                <c:ptCount val="10"/>
                <c:pt idx="0">
                  <c:v>156750</c:v>
                </c:pt>
                <c:pt idx="1">
                  <c:v>148500</c:v>
                </c:pt>
                <c:pt idx="2">
                  <c:v>140250</c:v>
                </c:pt>
                <c:pt idx="3">
                  <c:v>132000</c:v>
                </c:pt>
                <c:pt idx="4">
                  <c:v>123750</c:v>
                </c:pt>
                <c:pt idx="5">
                  <c:v>93500</c:v>
                </c:pt>
                <c:pt idx="6">
                  <c:v>71250</c:v>
                </c:pt>
                <c:pt idx="7">
                  <c:v>67500</c:v>
                </c:pt>
                <c:pt idx="8">
                  <c:v>63750</c:v>
                </c:pt>
                <c:pt idx="9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C-4273-A8A8-964225343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5383023"/>
        <c:axId val="1808279407"/>
      </c:barChart>
      <c:catAx>
        <c:axId val="186538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279407"/>
        <c:crosses val="autoZero"/>
        <c:auto val="1"/>
        <c:lblAlgn val="ctr"/>
        <c:lblOffset val="100"/>
        <c:noMultiLvlLbl val="0"/>
      </c:catAx>
      <c:valAx>
        <c:axId val="180827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38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 (Excel) Project.xlsx]City-wise Sales!PivotTable3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</a:t>
            </a:r>
            <a:r>
              <a:rPr lang="en-IN" sz="1400" b="0" i="0" u="none" strike="noStrike" baseline="0"/>
              <a:t>ity-wise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'City-wise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'City-wise Sales'!$A$4:$A$12</c:f>
              <c:strCache>
                <c:ptCount val="8"/>
                <c:pt idx="0">
                  <c:v>Chennai</c:v>
                </c:pt>
                <c:pt idx="1">
                  <c:v>Pune</c:v>
                </c:pt>
                <c:pt idx="2">
                  <c:v>Bangalore</c:v>
                </c:pt>
                <c:pt idx="3">
                  <c:v>Delhi</c:v>
                </c:pt>
                <c:pt idx="4">
                  <c:v>Kolkata</c:v>
                </c:pt>
                <c:pt idx="5">
                  <c:v>Hyderabad</c:v>
                </c:pt>
                <c:pt idx="6">
                  <c:v>Coimbatore</c:v>
                </c:pt>
                <c:pt idx="7">
                  <c:v>Mumbai</c:v>
                </c:pt>
              </c:strCache>
            </c:strRef>
          </c:cat>
          <c:val>
            <c:numRef>
              <c:f>'City-wise Sales'!$B$4:$B$12</c:f>
              <c:numCache>
                <c:formatCode>0</c:formatCode>
                <c:ptCount val="8"/>
                <c:pt idx="0">
                  <c:v>601730</c:v>
                </c:pt>
                <c:pt idx="1">
                  <c:v>542330</c:v>
                </c:pt>
                <c:pt idx="2">
                  <c:v>327522</c:v>
                </c:pt>
                <c:pt idx="3">
                  <c:v>287642</c:v>
                </c:pt>
                <c:pt idx="4">
                  <c:v>177650</c:v>
                </c:pt>
                <c:pt idx="5">
                  <c:v>165171.25</c:v>
                </c:pt>
                <c:pt idx="6">
                  <c:v>80850</c:v>
                </c:pt>
                <c:pt idx="7">
                  <c:v>76650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2-4B97-8B22-09BC03C40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171135"/>
        <c:axId val="1808275087"/>
      </c:barChart>
      <c:catAx>
        <c:axId val="1469171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275087"/>
        <c:crosses val="autoZero"/>
        <c:auto val="1"/>
        <c:lblAlgn val="ctr"/>
        <c:lblOffset val="100"/>
        <c:noMultiLvlLbl val="0"/>
      </c:catAx>
      <c:valAx>
        <c:axId val="180827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17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 (Excel) Project.xlsx]Product-wise Sales!PivotTable4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Product-wise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58158355205601"/>
          <c:y val="0.19166666666666668"/>
          <c:w val="0.75664063867016618"/>
          <c:h val="0.725827560489365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'Product-wise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'Product-wise Sales'!$A$4:$A$16</c:f>
              <c:strCache>
                <c:ptCount val="12"/>
                <c:pt idx="0">
                  <c:v>Laptop</c:v>
                </c:pt>
                <c:pt idx="1">
                  <c:v>Mobile</c:v>
                </c:pt>
                <c:pt idx="2">
                  <c:v>Monitor</c:v>
                </c:pt>
                <c:pt idx="3">
                  <c:v>Printer</c:v>
                </c:pt>
                <c:pt idx="4">
                  <c:v>Desk</c:v>
                </c:pt>
                <c:pt idx="5">
                  <c:v>Chair</c:v>
                </c:pt>
                <c:pt idx="6">
                  <c:v>Headphones</c:v>
                </c:pt>
                <c:pt idx="7">
                  <c:v>Backpack</c:v>
                </c:pt>
                <c:pt idx="8">
                  <c:v>Keyboard</c:v>
                </c:pt>
                <c:pt idx="9">
                  <c:v>Mouse</c:v>
                </c:pt>
                <c:pt idx="10">
                  <c:v>Notebook</c:v>
                </c:pt>
                <c:pt idx="11">
                  <c:v>Pen</c:v>
                </c:pt>
              </c:strCache>
            </c:strRef>
          </c:cat>
          <c:val>
            <c:numRef>
              <c:f>'Product-wise Sales'!$B$4:$B$16</c:f>
              <c:numCache>
                <c:formatCode>General</c:formatCode>
                <c:ptCount val="12"/>
                <c:pt idx="0">
                  <c:v>940500</c:v>
                </c:pt>
                <c:pt idx="1">
                  <c:v>421250</c:v>
                </c:pt>
                <c:pt idx="2">
                  <c:v>297900</c:v>
                </c:pt>
                <c:pt idx="3">
                  <c:v>192000</c:v>
                </c:pt>
                <c:pt idx="4">
                  <c:v>190800</c:v>
                </c:pt>
                <c:pt idx="5">
                  <c:v>98100</c:v>
                </c:pt>
                <c:pt idx="6">
                  <c:v>44500</c:v>
                </c:pt>
                <c:pt idx="7">
                  <c:v>32850</c:v>
                </c:pt>
                <c:pt idx="8">
                  <c:v>26550</c:v>
                </c:pt>
                <c:pt idx="9">
                  <c:v>12760</c:v>
                </c:pt>
                <c:pt idx="10">
                  <c:v>1914</c:v>
                </c:pt>
                <c:pt idx="11">
                  <c:v>421.25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8-4E45-8546-DD870A799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61686223"/>
        <c:axId val="1808249647"/>
      </c:barChart>
      <c:catAx>
        <c:axId val="1861686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249647"/>
        <c:crosses val="autoZero"/>
        <c:auto val="1"/>
        <c:lblAlgn val="ctr"/>
        <c:lblOffset val="100"/>
        <c:noMultiLvlLbl val="0"/>
      </c:catAx>
      <c:valAx>
        <c:axId val="180824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68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 (Excel) Project.xlsx]Category-wise Profit!PivotTable5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'Category-wise Profit'!$B$1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3B6-459D-B834-69B82876230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3B6-459D-B834-69B82876230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3B6-459D-B834-69B8287623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3B6-459D-B834-69B82876230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3B6-459D-B834-69B828762301}"/>
              </c:ext>
            </c:extLst>
          </c:dPt>
          <c:cat>
            <c:strRef>
              <c:f>'Category-wise Profit'!$A$2:$A$7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Office</c:v>
                </c:pt>
                <c:pt idx="3">
                  <c:v>Accessories</c:v>
                </c:pt>
                <c:pt idx="4">
                  <c:v>Stationery</c:v>
                </c:pt>
              </c:strCache>
            </c:strRef>
          </c:cat>
          <c:val>
            <c:numRef>
              <c:f>'Category-wise Profit'!$B$2:$B$7</c:f>
              <c:numCache>
                <c:formatCode>General</c:formatCode>
                <c:ptCount val="5"/>
                <c:pt idx="0">
                  <c:v>96610</c:v>
                </c:pt>
                <c:pt idx="1">
                  <c:v>32400</c:v>
                </c:pt>
                <c:pt idx="2">
                  <c:v>11500</c:v>
                </c:pt>
                <c:pt idx="3">
                  <c:v>5550</c:v>
                </c:pt>
                <c:pt idx="4">
                  <c:v>515.25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B6-459D-B834-69B828762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Performance Dashboard (Excel) Project.xlsx]Monthly Revenue!PivotTable6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Revenue'!$A$2:$A$7</c:f>
              <c:multiLvlStrCache>
                <c:ptCount val="4"/>
                <c:lvl>
                  <c:pt idx="0">
                    <c:v>Mar</c:v>
                  </c:pt>
                  <c:pt idx="1">
                    <c:v>Apr</c:v>
                  </c:pt>
                  <c:pt idx="2">
                    <c:v>May</c:v>
                  </c:pt>
                  <c:pt idx="3">
                    <c:v>Jun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'Monthly Revenue'!$B$2:$B$7</c:f>
              <c:numCache>
                <c:formatCode>General</c:formatCode>
                <c:ptCount val="4"/>
                <c:pt idx="0">
                  <c:v>121065</c:v>
                </c:pt>
                <c:pt idx="1">
                  <c:v>790097.75</c:v>
                </c:pt>
                <c:pt idx="2">
                  <c:v>814926.75</c:v>
                </c:pt>
                <c:pt idx="3">
                  <c:v>533455.75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D2-448C-914F-C43FF715A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8637455"/>
        <c:axId val="1808269807"/>
      </c:lineChart>
      <c:catAx>
        <c:axId val="184863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269807"/>
        <c:crosses val="autoZero"/>
        <c:auto val="1"/>
        <c:lblAlgn val="ctr"/>
        <c:lblOffset val="100"/>
        <c:noMultiLvlLbl val="0"/>
      </c:catAx>
      <c:valAx>
        <c:axId val="180826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63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116633</xdr:colOff>
      <xdr:row>12</xdr:row>
      <xdr:rowOff>101082</xdr:rowOff>
    </xdr:from>
    <xdr:to>
      <xdr:col>8</xdr:col>
      <xdr:colOff>119122</xdr:colOff>
      <xdr:row>26</xdr:row>
      <xdr:rowOff>92529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6CAF6C-F93B-4DF8-9585-31A721A9A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100927</xdr:colOff>
      <xdr:row>12</xdr:row>
      <xdr:rowOff>76356</xdr:rowOff>
    </xdr:from>
    <xdr:to>
      <xdr:col>15</xdr:col>
      <xdr:colOff>995266</xdr:colOff>
      <xdr:row>26</xdr:row>
      <xdr:rowOff>31102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3FE66B-1533-4EE5-ACD7-0D7CE61D5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295821</xdr:colOff>
      <xdr:row>12</xdr:row>
      <xdr:rowOff>98555</xdr:rowOff>
    </xdr:from>
    <xdr:to>
      <xdr:col>23</xdr:col>
      <xdr:colOff>560656</xdr:colOff>
      <xdr:row>25</xdr:row>
      <xdr:rowOff>132458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3A2FC9-CB1A-4A64-80AF-A23B2214E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19507</xdr:colOff>
      <xdr:row>29</xdr:row>
      <xdr:rowOff>37649</xdr:rowOff>
    </xdr:from>
    <xdr:to>
      <xdr:col>15</xdr:col>
      <xdr:colOff>860626</xdr:colOff>
      <xdr:row>42</xdr:row>
      <xdr:rowOff>22098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78EC9B9-AD7E-453E-B219-6BBBA802D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5</xdr:col>
      <xdr:colOff>373380</xdr:colOff>
      <xdr:row>2</xdr:row>
      <xdr:rowOff>129540</xdr:rowOff>
    </xdr:from>
    <xdr:ext cx="1158240" cy="5181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3CC7A29-D6DA-4BE7-AFD6-63910985E632}"/>
            </a:ext>
          </a:extLst>
        </xdr:cNvPr>
        <xdr:cNvSpPr txBox="1"/>
      </xdr:nvSpPr>
      <xdr:spPr>
        <a:xfrm>
          <a:off x="3421380" y="861060"/>
          <a:ext cx="1158240" cy="5181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2</xdr:col>
      <xdr:colOff>38100</xdr:colOff>
      <xdr:row>1</xdr:row>
      <xdr:rowOff>83820</xdr:rowOff>
    </xdr:from>
    <xdr:to>
      <xdr:col>4</xdr:col>
      <xdr:colOff>266700</xdr:colOff>
      <xdr:row>6</xdr:row>
      <xdr:rowOff>53340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725B1F6-C0D0-C879-3DEF-49515482BC88}"/>
            </a:ext>
          </a:extLst>
        </xdr:cNvPr>
        <xdr:cNvSpPr/>
      </xdr:nvSpPr>
      <xdr:spPr>
        <a:xfrm>
          <a:off x="1257300" y="632460"/>
          <a:ext cx="1447800" cy="8839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342900</xdr:colOff>
      <xdr:row>2</xdr:row>
      <xdr:rowOff>0</xdr:rowOff>
    </xdr:from>
    <xdr:to>
      <xdr:col>4</xdr:col>
      <xdr:colOff>91440</xdr:colOff>
      <xdr:row>3</xdr:row>
      <xdr:rowOff>30480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B4565E1-4CAD-365F-93AB-26B48F3FA56D}"/>
            </a:ext>
          </a:extLst>
        </xdr:cNvPr>
        <xdr:cNvSpPr txBox="1"/>
      </xdr:nvSpPr>
      <xdr:spPr>
        <a:xfrm flipH="1">
          <a:off x="1562100" y="731520"/>
          <a:ext cx="967740" cy="21336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ln>
                <a:solidFill>
                  <a:schemeClr val="tx1"/>
                </a:solidFill>
              </a:ln>
              <a:solidFill>
                <a:schemeClr val="bg2"/>
              </a:solidFill>
            </a:rPr>
            <a:t>Total</a:t>
          </a:r>
          <a:r>
            <a:rPr lang="en-IN" sz="1100" baseline="0">
              <a:ln>
                <a:solidFill>
                  <a:schemeClr val="tx1"/>
                </a:solidFill>
              </a:ln>
              <a:solidFill>
                <a:schemeClr val="bg2"/>
              </a:solidFill>
            </a:rPr>
            <a:t> </a:t>
          </a:r>
          <a:r>
            <a:rPr lang="en-IN" sz="1100" b="1">
              <a:solidFill>
                <a:schemeClr val="tx1"/>
              </a:solidFill>
              <a:latin typeface="+mn-lt"/>
              <a:ea typeface="+mn-ea"/>
              <a:cs typeface="+mn-cs"/>
            </a:rPr>
            <a:t>Sales</a:t>
          </a:r>
        </a:p>
        <a:p>
          <a:pPr algn="ctr"/>
          <a:endParaRPr lang="en-IN" sz="1100">
            <a:ln>
              <a:solidFill>
                <a:schemeClr val="accent6">
                  <a:lumMod val="40000"/>
                  <a:lumOff val="60000"/>
                </a:schemeClr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349898</xdr:colOff>
      <xdr:row>4</xdr:row>
      <xdr:rowOff>1</xdr:rowOff>
    </xdr:from>
    <xdr:to>
      <xdr:col>4</xdr:col>
      <xdr:colOff>101081</xdr:colOff>
      <xdr:row>5</xdr:row>
      <xdr:rowOff>101083</xdr:rowOff>
    </xdr:to>
    <xdr:sp macro="" textlink="'Overall Business KPIs'!A4">
      <xdr:nvSpPr>
        <xdr:cNvPr id="12" name="TextBox 11">
          <a:extLst>
            <a:ext uri="{FF2B5EF4-FFF2-40B4-BE49-F238E27FC236}">
              <a16:creationId xmlns:a16="http://schemas.microsoft.com/office/drawing/2014/main" id="{CEE9C20B-7897-4C4F-A0EC-19509B2B94E0}"/>
            </a:ext>
          </a:extLst>
        </xdr:cNvPr>
        <xdr:cNvSpPr txBox="1"/>
      </xdr:nvSpPr>
      <xdr:spPr>
        <a:xfrm rot="10800000" flipV="1">
          <a:off x="1562878" y="1111899"/>
          <a:ext cx="964162" cy="287694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467D40A-D5BC-482A-BD98-C28ECAC500BF}" type="TxLink">
            <a:rPr lang="en-US" sz="1100" b="0" i="0" u="none" strike="noStrike"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solidFill>
                <a:srgbClr val="000000"/>
              </a:solidFill>
              <a:latin typeface="Aptos Narrow"/>
            </a:rPr>
            <a:pPr algn="ctr"/>
            <a:t>₹ 22,59,545</a:t>
          </a:fld>
          <a:endParaRPr lang="en-IN" sz="1100">
            <a:ln>
              <a:solidFill>
                <a:schemeClr val="accent6">
                  <a:lumMod val="40000"/>
                  <a:lumOff val="60000"/>
                </a:schemeClr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60960</xdr:colOff>
      <xdr:row>1</xdr:row>
      <xdr:rowOff>106680</xdr:rowOff>
    </xdr:from>
    <xdr:to>
      <xdr:col>7</xdr:col>
      <xdr:colOff>228600</xdr:colOff>
      <xdr:row>6</xdr:row>
      <xdr:rowOff>45720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8DAD6BC-9091-61E9-5E13-99F9D741C8F9}"/>
            </a:ext>
          </a:extLst>
        </xdr:cNvPr>
        <xdr:cNvSpPr/>
      </xdr:nvSpPr>
      <xdr:spPr>
        <a:xfrm>
          <a:off x="3108960" y="655320"/>
          <a:ext cx="1386840" cy="8534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213360</xdr:colOff>
      <xdr:row>2</xdr:row>
      <xdr:rowOff>45720</xdr:rowOff>
    </xdr:from>
    <xdr:to>
      <xdr:col>7</xdr:col>
      <xdr:colOff>121920</xdr:colOff>
      <xdr:row>3</xdr:row>
      <xdr:rowOff>106680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F979883-C395-3624-C896-BF2F6C207BF5}"/>
            </a:ext>
          </a:extLst>
        </xdr:cNvPr>
        <xdr:cNvSpPr txBox="1"/>
      </xdr:nvSpPr>
      <xdr:spPr>
        <a:xfrm>
          <a:off x="3261360" y="777240"/>
          <a:ext cx="1127760" cy="24384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tx1"/>
              </a:solidFill>
            </a:rPr>
            <a:t>Total Cost</a:t>
          </a:r>
        </a:p>
      </xdr:txBody>
    </xdr:sp>
    <xdr:clientData/>
  </xdr:twoCellAnchor>
  <xdr:twoCellAnchor>
    <xdr:from>
      <xdr:col>5</xdr:col>
      <xdr:colOff>213360</xdr:colOff>
      <xdr:row>4</xdr:row>
      <xdr:rowOff>38100</xdr:rowOff>
    </xdr:from>
    <xdr:to>
      <xdr:col>7</xdr:col>
      <xdr:colOff>185111</xdr:colOff>
      <xdr:row>5</xdr:row>
      <xdr:rowOff>122338</xdr:rowOff>
    </xdr:to>
    <xdr:sp macro="" textlink="'Overall Business KPIs'!B4">
      <xdr:nvSpPr>
        <xdr:cNvPr id="22" name="TextBox 21">
          <a:extLst>
            <a:ext uri="{FF2B5EF4-FFF2-40B4-BE49-F238E27FC236}">
              <a16:creationId xmlns:a16="http://schemas.microsoft.com/office/drawing/2014/main" id="{9CC89F4D-1316-4B8D-A4FF-8B3DF1EBC044}"/>
            </a:ext>
          </a:extLst>
        </xdr:cNvPr>
        <xdr:cNvSpPr txBox="1"/>
      </xdr:nvSpPr>
      <xdr:spPr>
        <a:xfrm rot="10800000" flipV="1">
          <a:off x="3261360" y="1135380"/>
          <a:ext cx="1190951" cy="267118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247F640-F13C-4B67-8446-5DE70557AD40}" type="TxLink">
            <a:rPr lang="en-US" sz="1100" b="0" i="0" u="none" strike="noStrike"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solidFill>
                <a:srgbClr val="000000"/>
              </a:solidFill>
              <a:latin typeface="Aptos Narrow"/>
            </a:rPr>
            <a:pPr algn="ctr"/>
            <a:t>₹ 21,12,970</a:t>
          </a:fld>
          <a:endParaRPr lang="en-IN" sz="1100">
            <a:ln>
              <a:solidFill>
                <a:schemeClr val="accent6">
                  <a:lumMod val="40000"/>
                  <a:lumOff val="60000"/>
                </a:schemeClr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266700</xdr:colOff>
      <xdr:row>1</xdr:row>
      <xdr:rowOff>106680</xdr:rowOff>
    </xdr:from>
    <xdr:to>
      <xdr:col>10</xdr:col>
      <xdr:colOff>403860</xdr:colOff>
      <xdr:row>6</xdr:row>
      <xdr:rowOff>76200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4F3E308C-BE52-4325-842A-5965225223AB}"/>
            </a:ext>
          </a:extLst>
        </xdr:cNvPr>
        <xdr:cNvSpPr/>
      </xdr:nvSpPr>
      <xdr:spPr>
        <a:xfrm>
          <a:off x="5143500" y="655320"/>
          <a:ext cx="1356360" cy="8839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320040</xdr:colOff>
      <xdr:row>3</xdr:row>
      <xdr:rowOff>152400</xdr:rowOff>
    </xdr:from>
    <xdr:to>
      <xdr:col>10</xdr:col>
      <xdr:colOff>291791</xdr:colOff>
      <xdr:row>5</xdr:row>
      <xdr:rowOff>53758</xdr:rowOff>
    </xdr:to>
    <xdr:sp macro="" textlink="'Overall Business KPIs'!C4">
      <xdr:nvSpPr>
        <xdr:cNvPr id="26" name="TextBox 25">
          <a:extLst>
            <a:ext uri="{FF2B5EF4-FFF2-40B4-BE49-F238E27FC236}">
              <a16:creationId xmlns:a16="http://schemas.microsoft.com/office/drawing/2014/main" id="{8EB538F9-2267-4B0F-B034-ACCAE6FCDABA}"/>
            </a:ext>
          </a:extLst>
        </xdr:cNvPr>
        <xdr:cNvSpPr txBox="1"/>
      </xdr:nvSpPr>
      <xdr:spPr>
        <a:xfrm rot="10800000" flipV="1">
          <a:off x="5196840" y="1066800"/>
          <a:ext cx="1190951" cy="267118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B65B879-F1E6-4268-8A04-72C9C48B1D57}" type="TxLink">
            <a:rPr lang="en-US" sz="1100" b="0" i="0" u="none" strike="noStrike"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solidFill>
                <a:srgbClr val="000000"/>
              </a:solidFill>
              <a:latin typeface="Aptos Narrow"/>
            </a:rPr>
            <a:pPr algn="ctr"/>
            <a:t>₹ 1,46,575</a:t>
          </a:fld>
          <a:endParaRPr lang="en-IN" sz="1100">
            <a:ln>
              <a:solidFill>
                <a:schemeClr val="accent6">
                  <a:lumMod val="40000"/>
                  <a:lumOff val="60000"/>
                </a:schemeClr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373380</xdr:colOff>
      <xdr:row>2</xdr:row>
      <xdr:rowOff>22860</xdr:rowOff>
    </xdr:from>
    <xdr:to>
      <xdr:col>10</xdr:col>
      <xdr:colOff>213360</xdr:colOff>
      <xdr:row>3</xdr:row>
      <xdr:rowOff>83820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0C94B4B-DAFC-4FF9-B830-8A78559FC7A4}"/>
            </a:ext>
          </a:extLst>
        </xdr:cNvPr>
        <xdr:cNvSpPr txBox="1"/>
      </xdr:nvSpPr>
      <xdr:spPr>
        <a:xfrm>
          <a:off x="5250180" y="754380"/>
          <a:ext cx="1059180" cy="24384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solidFill>
                <a:schemeClr val="tx1"/>
              </a:solidFill>
            </a:rPr>
            <a:t>Total Profit</a:t>
          </a:r>
        </a:p>
        <a:p>
          <a:pPr algn="ctr"/>
          <a:endParaRPr lang="en-IN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</xdr:row>
      <xdr:rowOff>99060</xdr:rowOff>
    </xdr:from>
    <xdr:to>
      <xdr:col>12</xdr:col>
      <xdr:colOff>579120</xdr:colOff>
      <xdr:row>5</xdr:row>
      <xdr:rowOff>175260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66C7E00F-5843-49BE-BF21-1BCB10578711}"/>
            </a:ext>
          </a:extLst>
        </xdr:cNvPr>
        <xdr:cNvSpPr/>
      </xdr:nvSpPr>
      <xdr:spPr>
        <a:xfrm>
          <a:off x="6705600" y="647700"/>
          <a:ext cx="1188720" cy="8077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0</xdr:colOff>
      <xdr:row>1</xdr:row>
      <xdr:rowOff>99060</xdr:rowOff>
    </xdr:from>
    <xdr:to>
      <xdr:col>13</xdr:col>
      <xdr:colOff>167640</xdr:colOff>
      <xdr:row>6</xdr:row>
      <xdr:rowOff>15240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2DA9B7A6-3EB6-48D7-9467-7F9D187A4C92}"/>
            </a:ext>
          </a:extLst>
        </xdr:cNvPr>
        <xdr:cNvSpPr/>
      </xdr:nvSpPr>
      <xdr:spPr>
        <a:xfrm>
          <a:off x="6705600" y="647700"/>
          <a:ext cx="1386840" cy="8305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60960</xdr:colOff>
      <xdr:row>3</xdr:row>
      <xdr:rowOff>160020</xdr:rowOff>
    </xdr:from>
    <xdr:to>
      <xdr:col>13</xdr:col>
      <xdr:colOff>32711</xdr:colOff>
      <xdr:row>5</xdr:row>
      <xdr:rowOff>61378</xdr:rowOff>
    </xdr:to>
    <xdr:sp macro="" textlink="'Overall Business KPIs'!D4">
      <xdr:nvSpPr>
        <xdr:cNvPr id="33" name="TextBox 32">
          <a:extLst>
            <a:ext uri="{FF2B5EF4-FFF2-40B4-BE49-F238E27FC236}">
              <a16:creationId xmlns:a16="http://schemas.microsoft.com/office/drawing/2014/main" id="{71CCEDD0-8FFD-4323-9758-333CE6313ADB}"/>
            </a:ext>
          </a:extLst>
        </xdr:cNvPr>
        <xdr:cNvSpPr txBox="1"/>
      </xdr:nvSpPr>
      <xdr:spPr>
        <a:xfrm rot="10800000" flipV="1">
          <a:off x="6766560" y="1074420"/>
          <a:ext cx="1190951" cy="267118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4F13C4B-2CC7-4AA6-8042-A2D5BCA7E2F2}" type="TxLink">
            <a:rPr lang="en-US" sz="1100" b="0" i="0" u="none" strike="noStrike"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solidFill>
                <a:srgbClr val="000000"/>
              </a:solidFill>
              <a:latin typeface="Aptos Narrow"/>
            </a:rPr>
            <a:pPr algn="ctr"/>
            <a:t>237</a:t>
          </a:fld>
          <a:endParaRPr lang="en-IN" sz="1100">
            <a:ln>
              <a:solidFill>
                <a:schemeClr val="accent6">
                  <a:lumMod val="40000"/>
                  <a:lumOff val="60000"/>
                </a:schemeClr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60960</xdr:colOff>
      <xdr:row>2</xdr:row>
      <xdr:rowOff>30480</xdr:rowOff>
    </xdr:from>
    <xdr:to>
      <xdr:col>13</xdr:col>
      <xdr:colOff>32711</xdr:colOff>
      <xdr:row>3</xdr:row>
      <xdr:rowOff>114718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8B3A1C5-1A1A-49B4-A42E-41822ABD2998}"/>
            </a:ext>
          </a:extLst>
        </xdr:cNvPr>
        <xdr:cNvSpPr txBox="1"/>
      </xdr:nvSpPr>
      <xdr:spPr>
        <a:xfrm rot="10800000" flipV="1">
          <a:off x="6766560" y="762000"/>
          <a:ext cx="1190951" cy="267118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Total</a:t>
          </a:r>
          <a:r>
            <a:rPr lang="en-US" sz="1100" b="1" i="0" u="none" strike="noStrike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Aptos Narrow"/>
            </a:rPr>
            <a:t> </a:t>
          </a:r>
          <a:r>
            <a:rPr lang="en-US" sz="1100" b="1">
              <a:solidFill>
                <a:schemeClr val="tx1"/>
              </a:solidFill>
              <a:latin typeface="+mn-lt"/>
              <a:ea typeface="+mn-ea"/>
              <a:cs typeface="+mn-cs"/>
            </a:rPr>
            <a:t>Quantity</a:t>
          </a:r>
          <a:r>
            <a:rPr lang="en-US" sz="1100" b="1" i="0" u="none" strike="noStrike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Aptos Narrow"/>
            </a:rPr>
            <a:t> </a:t>
          </a:r>
        </a:p>
      </xdr:txBody>
    </xdr:sp>
    <xdr:clientData/>
  </xdr:twoCellAnchor>
  <xdr:twoCellAnchor>
    <xdr:from>
      <xdr:col>1</xdr:col>
      <xdr:colOff>53475</xdr:colOff>
      <xdr:row>29</xdr:row>
      <xdr:rowOff>53474</xdr:rowOff>
    </xdr:from>
    <xdr:to>
      <xdr:col>7</xdr:col>
      <xdr:colOff>503772</xdr:colOff>
      <xdr:row>42</xdr:row>
      <xdr:rowOff>14051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FDEFDD-7679-4E7B-ABB3-77776B48A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shaya" refreshedDate="46213.570584606481" createdVersion="8" refreshedVersion="8" minRefreshableVersion="3" recordCount="100" xr:uid="{8DC8EE02-44F1-4522-9434-C8A8FAFCFB0B}">
  <cacheSource type="worksheet">
    <worksheetSource name="Table1"/>
  </cacheSource>
  <cacheFields count="15">
    <cacheField name="Order ID" numFmtId="0">
      <sharedItems containsSemiMixedTypes="0" containsString="0" containsNumber="1" containsInteger="1" minValue="101" maxValue="200"/>
    </cacheField>
    <cacheField name="Order Date" numFmtId="14">
      <sharedItems containsSemiMixedTypes="0" containsNonDate="0" containsDate="1" containsString="0" minDate="2025-03-22T00:00:00" maxDate="2025-06-30T00:00:00" count="100"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</sharedItems>
      <fieldGroup par="14"/>
    </cacheField>
    <cacheField name="Customer Name" numFmtId="0">
      <sharedItems count="100">
        <s v="Aarav Sharma"/>
        <s v="Akash Kumar"/>
        <s v="Akhil Reddy"/>
        <s v="Amit Verma"/>
        <s v="Ananya Iyer"/>
        <s v="Arjun Nair"/>
        <s v="Arun Kumar"/>
        <s v="Ashwin Raj"/>
        <s v="Bala Murugan"/>
        <s v="Bharath Kumar"/>
        <s v="Charan Teja"/>
        <s v="Deepak Singh"/>
        <s v="Dhanush Kumar"/>
        <s v="Divya Priya"/>
        <s v="Gokul Raj"/>
        <s v="Gopal Krishna"/>
        <s v="Hari Prasad"/>
        <s v="Harini Devi"/>
        <s v="Ishaan Mehta"/>
        <s v="Jai Prakash"/>
        <s v="Janani Ravi"/>
        <s v="Jeeva Kumar"/>
        <s v="Kannan Raj"/>
        <s v="Karthick S"/>
        <s v="Karthika Devi"/>
        <s v="Kavya Nair"/>
        <s v="Keerthana M"/>
        <s v="Kishore Kumar"/>
        <s v="Krish Patel"/>
        <s v="Lakshmi Priya"/>
        <s v="Lokesh Kumar"/>
        <s v="Madhan Kumar"/>
        <s v="Mahesh Babu"/>
        <s v="Manoj Kumar"/>
        <s v="Meena Kumari"/>
        <s v="Mithun Raj"/>
        <s v="Mohan Raj"/>
        <s v="Monika Sharma"/>
        <s v="Mukesh Kumar"/>
        <s v="Nandhini S"/>
        <s v="Naveen Kumar"/>
        <s v="Nikhil Reddy"/>
        <s v="Nisha Patel"/>
        <s v="Pooja Sharma"/>
        <s v="Prabhu Kumar"/>
        <s v="Pradeep Kumar"/>
        <s v="Prakash Raj"/>
        <s v="Pranav Singh"/>
        <s v="Preethi R"/>
        <s v="Priya Nair"/>
        <s v="Rahul Verma"/>
        <s v="Raj Kumar"/>
        <s v="Rajesh Kumar"/>
        <s v="Rakshith Gowda"/>
        <s v="Ram Kumar"/>
        <s v="Ramesh Babu"/>
        <s v="Ranjith Kumar"/>
        <s v="Ravi Chandran"/>
        <s v="Reshma Devi"/>
        <s v="Riya Sharma"/>
        <s v="Rohit Gupta"/>
        <s v="Sai Kiran"/>
        <s v="Sakshi Jain"/>
        <s v="Sanjay Kumar"/>
        <s v="Saranya M"/>
        <s v="Sathish Kumar"/>
        <s v="Shalini R"/>
        <s v="Shankar Raj"/>
        <s v="Sharath Kumar"/>
        <s v="Shivani Mehta"/>
        <s v="Shruthi Nair"/>
        <s v="Siva Kumar"/>
        <s v="Sneha Patel"/>
        <s v="Sriram K"/>
        <s v="Subash Kumar"/>
        <s v="Sudha Priya"/>
        <s v="Sumanth Reddy"/>
        <s v="Sunil Kumar"/>
        <s v="Suraj Singh"/>
        <s v="Suresh Kumar"/>
        <s v="Swathi R"/>
        <s v="Tejaswini M"/>
        <s v="Uday Kumar"/>
        <s v="Vaibhav Singh"/>
        <s v="Varsha Nair"/>
        <s v="Vasanth Kumar"/>
        <s v="Venkatesh R"/>
        <s v="Vignesh Kumar"/>
        <s v="Vijay Kumar"/>
        <s v="Vikram Singh"/>
        <s v="Vinay Kumar"/>
        <s v="Vinitha S"/>
        <s v="Vishal Gupta"/>
        <s v="Vivek Sharma"/>
        <s v="Yamini Devi"/>
        <s v="Yash Patel"/>
        <s v="Yogesh Kumar"/>
        <s v="Yuvaraj S"/>
        <s v="Zara Khan"/>
        <s v="Zubin Patel"/>
      </sharedItems>
    </cacheField>
    <cacheField name="City" numFmtId="0">
      <sharedItems count="8">
        <s v="Chennai"/>
        <s v="Bangalore"/>
        <s v="Hyderabad"/>
        <s v="Mumbai"/>
        <s v="Pune"/>
        <s v="Delhi"/>
        <s v="Kolkata"/>
        <s v="Coimbatore"/>
      </sharedItems>
    </cacheField>
    <cacheField name="Product" numFmtId="0">
      <sharedItems count="12">
        <s v="Laptop"/>
        <s v="Mobile"/>
        <s v="Headphones"/>
        <s v="Keyboard"/>
        <s v="Mouse"/>
        <s v="Printer"/>
        <s v="Monitor"/>
        <s v="Chair"/>
        <s v="Desk"/>
        <s v="Notebook"/>
        <s v="Pen"/>
        <s v="Backpack"/>
      </sharedItems>
    </cacheField>
    <cacheField name="Category" numFmtId="0">
      <sharedItems count="5">
        <s v="Electronics"/>
        <s v="Office"/>
        <s v="Furniture"/>
        <s v="Stationery"/>
        <s v="Accessories"/>
      </sharedItems>
    </cacheField>
    <cacheField name="Quantity" numFmtId="0">
      <sharedItems containsSemiMixedTypes="0" containsString="0" containsNumber="1" containsInteger="1" minValue="1" maxValue="3"/>
    </cacheField>
    <cacheField name="Unit Price" numFmtId="0">
      <sharedItems containsSemiMixedTypes="0" containsString="0" containsNumber="1" containsInteger="1" minValue="25" maxValue="55000"/>
    </cacheField>
    <cacheField name="Cost per Unit" numFmtId="0">
      <sharedItems containsSemiMixedTypes="0" containsString="0" containsNumber="1" containsInteger="1" minValue="15" maxValue="45000"/>
    </cacheField>
    <cacheField name="Discount (%)" numFmtId="0">
      <sharedItems containsSemiMixedTypes="0" containsString="0" containsNumber="1" containsInteger="1" minValue="5" maxValue="25"/>
    </cacheField>
    <cacheField name="Sales" numFmtId="0">
      <sharedItems containsSemiMixedTypes="0" containsString="0" containsNumber="1" minValue="22.5" maxValue="156750"/>
    </cacheField>
    <cacheField name="Cost" numFmtId="0">
      <sharedItems containsSemiMixedTypes="0" containsString="0" containsNumber="1" containsInteger="1" minValue="15" maxValue="135000"/>
    </cacheField>
    <cacheField name="Profit" numFmtId="0">
      <sharedItems containsSemiMixedTypes="0" containsString="0" containsNumber="1" minValue="-11250" maxValue="21750"/>
    </cacheField>
    <cacheField name="Months (Order Date)" numFmtId="0" databaseField="0">
      <fieldGroup base="1">
        <rangePr groupBy="months" startDate="2025-03-22T00:00:00" endDate="2025-06-30T00:00:00"/>
        <groupItems count="14">
          <s v="&lt;22-03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6-2025"/>
        </groupItems>
      </fieldGroup>
    </cacheField>
    <cacheField name="Years (Order Date)" numFmtId="0" databaseField="0">
      <fieldGroup base="1">
        <rangePr groupBy="years" startDate="2025-03-22T00:00:00" endDate="2025-06-30T00:00:00"/>
        <groupItems count="3">
          <s v="&lt;22-03-2025"/>
          <s v="2025"/>
          <s v="&gt;30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1"/>
    <x v="0"/>
    <x v="0"/>
    <x v="0"/>
    <x v="0"/>
    <x v="0"/>
    <n v="1"/>
    <n v="55000"/>
    <n v="45000"/>
    <n v="5"/>
    <n v="52250"/>
    <n v="45000"/>
    <n v="7250"/>
  </r>
  <r>
    <n v="102"/>
    <x v="1"/>
    <x v="1"/>
    <x v="1"/>
    <x v="1"/>
    <x v="0"/>
    <n v="1"/>
    <n v="25000"/>
    <n v="20000"/>
    <n v="10"/>
    <n v="22500"/>
    <n v="20000"/>
    <n v="2500"/>
  </r>
  <r>
    <n v="103"/>
    <x v="2"/>
    <x v="2"/>
    <x v="2"/>
    <x v="2"/>
    <x v="0"/>
    <n v="1"/>
    <n v="2500"/>
    <n v="1800"/>
    <n v="15"/>
    <n v="2125"/>
    <n v="1800"/>
    <n v="325"/>
  </r>
  <r>
    <n v="104"/>
    <x v="3"/>
    <x v="3"/>
    <x v="3"/>
    <x v="3"/>
    <x v="0"/>
    <n v="1"/>
    <n v="1500"/>
    <n v="1100"/>
    <n v="20"/>
    <n v="1200"/>
    <n v="1100"/>
    <n v="100"/>
  </r>
  <r>
    <n v="105"/>
    <x v="4"/>
    <x v="4"/>
    <x v="4"/>
    <x v="4"/>
    <x v="0"/>
    <n v="1"/>
    <n v="800"/>
    <n v="550"/>
    <n v="25"/>
    <n v="600"/>
    <n v="550"/>
    <n v="50"/>
  </r>
  <r>
    <n v="106"/>
    <x v="5"/>
    <x v="5"/>
    <x v="5"/>
    <x v="5"/>
    <x v="1"/>
    <n v="1"/>
    <n v="12000"/>
    <n v="9500"/>
    <n v="5"/>
    <n v="11400"/>
    <n v="9500"/>
    <n v="1900"/>
  </r>
  <r>
    <n v="107"/>
    <x v="6"/>
    <x v="6"/>
    <x v="6"/>
    <x v="6"/>
    <x v="0"/>
    <n v="1"/>
    <n v="18000"/>
    <n v="14500"/>
    <n v="10"/>
    <n v="16200"/>
    <n v="14500"/>
    <n v="1700"/>
  </r>
  <r>
    <n v="108"/>
    <x v="7"/>
    <x v="7"/>
    <x v="7"/>
    <x v="7"/>
    <x v="2"/>
    <n v="1"/>
    <n v="6000"/>
    <n v="4500"/>
    <n v="15"/>
    <n v="5100"/>
    <n v="4500"/>
    <n v="600"/>
  </r>
  <r>
    <n v="109"/>
    <x v="8"/>
    <x v="8"/>
    <x v="0"/>
    <x v="8"/>
    <x v="2"/>
    <n v="1"/>
    <n v="12000"/>
    <n v="9000"/>
    <n v="20"/>
    <n v="9600"/>
    <n v="9000"/>
    <n v="600"/>
  </r>
  <r>
    <n v="110"/>
    <x v="9"/>
    <x v="9"/>
    <x v="1"/>
    <x v="9"/>
    <x v="3"/>
    <n v="1"/>
    <n v="120"/>
    <n v="80"/>
    <n v="25"/>
    <n v="90"/>
    <n v="80"/>
    <n v="10"/>
  </r>
  <r>
    <n v="111"/>
    <x v="10"/>
    <x v="10"/>
    <x v="2"/>
    <x v="10"/>
    <x v="3"/>
    <n v="1"/>
    <n v="25"/>
    <n v="15"/>
    <n v="5"/>
    <n v="23.75"/>
    <n v="15"/>
    <n v="8.75"/>
  </r>
  <r>
    <n v="112"/>
    <x v="11"/>
    <x v="11"/>
    <x v="3"/>
    <x v="11"/>
    <x v="4"/>
    <n v="2"/>
    <n v="1800"/>
    <n v="1300"/>
    <n v="10"/>
    <n v="3240"/>
    <n v="2600"/>
    <n v="640"/>
  </r>
  <r>
    <n v="113"/>
    <x v="12"/>
    <x v="12"/>
    <x v="4"/>
    <x v="0"/>
    <x v="0"/>
    <n v="2"/>
    <n v="55000"/>
    <n v="45000"/>
    <n v="15"/>
    <n v="93500"/>
    <n v="90000"/>
    <n v="3500"/>
  </r>
  <r>
    <n v="114"/>
    <x v="13"/>
    <x v="13"/>
    <x v="5"/>
    <x v="1"/>
    <x v="0"/>
    <n v="2"/>
    <n v="25000"/>
    <n v="20000"/>
    <n v="20"/>
    <n v="40000"/>
    <n v="40000"/>
    <n v="0"/>
  </r>
  <r>
    <n v="115"/>
    <x v="14"/>
    <x v="14"/>
    <x v="6"/>
    <x v="2"/>
    <x v="0"/>
    <n v="2"/>
    <n v="2500"/>
    <n v="1800"/>
    <n v="25"/>
    <n v="3750"/>
    <n v="3600"/>
    <n v="150"/>
  </r>
  <r>
    <n v="116"/>
    <x v="15"/>
    <x v="15"/>
    <x v="7"/>
    <x v="3"/>
    <x v="0"/>
    <n v="2"/>
    <n v="1500"/>
    <n v="1100"/>
    <n v="5"/>
    <n v="2850"/>
    <n v="2200"/>
    <n v="650"/>
  </r>
  <r>
    <n v="117"/>
    <x v="16"/>
    <x v="16"/>
    <x v="0"/>
    <x v="4"/>
    <x v="0"/>
    <n v="2"/>
    <n v="800"/>
    <n v="550"/>
    <n v="10"/>
    <n v="1440"/>
    <n v="1100"/>
    <n v="340"/>
  </r>
  <r>
    <n v="118"/>
    <x v="17"/>
    <x v="17"/>
    <x v="1"/>
    <x v="5"/>
    <x v="1"/>
    <n v="2"/>
    <n v="12000"/>
    <n v="9500"/>
    <n v="15"/>
    <n v="20400"/>
    <n v="19000"/>
    <n v="1400"/>
  </r>
  <r>
    <n v="119"/>
    <x v="18"/>
    <x v="18"/>
    <x v="2"/>
    <x v="6"/>
    <x v="0"/>
    <n v="2"/>
    <n v="18000"/>
    <n v="14500"/>
    <n v="20"/>
    <n v="28800"/>
    <n v="29000"/>
    <n v="-200"/>
  </r>
  <r>
    <n v="120"/>
    <x v="19"/>
    <x v="19"/>
    <x v="3"/>
    <x v="7"/>
    <x v="2"/>
    <n v="2"/>
    <n v="6000"/>
    <n v="4500"/>
    <n v="25"/>
    <n v="9000"/>
    <n v="9000"/>
    <n v="0"/>
  </r>
  <r>
    <n v="121"/>
    <x v="20"/>
    <x v="20"/>
    <x v="4"/>
    <x v="8"/>
    <x v="2"/>
    <n v="2"/>
    <n v="12000"/>
    <n v="9000"/>
    <n v="5"/>
    <n v="22800"/>
    <n v="18000"/>
    <n v="4800"/>
  </r>
  <r>
    <n v="122"/>
    <x v="21"/>
    <x v="21"/>
    <x v="5"/>
    <x v="9"/>
    <x v="3"/>
    <n v="2"/>
    <n v="120"/>
    <n v="80"/>
    <n v="10"/>
    <n v="216"/>
    <n v="160"/>
    <n v="56"/>
  </r>
  <r>
    <n v="123"/>
    <x v="22"/>
    <x v="22"/>
    <x v="6"/>
    <x v="10"/>
    <x v="3"/>
    <n v="3"/>
    <n v="25"/>
    <n v="15"/>
    <n v="15"/>
    <n v="63.75"/>
    <n v="45"/>
    <n v="18.75"/>
  </r>
  <r>
    <n v="124"/>
    <x v="23"/>
    <x v="23"/>
    <x v="7"/>
    <x v="11"/>
    <x v="4"/>
    <n v="3"/>
    <n v="1800"/>
    <n v="1300"/>
    <n v="20"/>
    <n v="4320"/>
    <n v="3900"/>
    <n v="420"/>
  </r>
  <r>
    <n v="125"/>
    <x v="24"/>
    <x v="24"/>
    <x v="0"/>
    <x v="0"/>
    <x v="0"/>
    <n v="3"/>
    <n v="55000"/>
    <n v="45000"/>
    <n v="25"/>
    <n v="123750"/>
    <n v="135000"/>
    <n v="-11250"/>
  </r>
  <r>
    <n v="126"/>
    <x v="25"/>
    <x v="25"/>
    <x v="1"/>
    <x v="1"/>
    <x v="0"/>
    <n v="3"/>
    <n v="25000"/>
    <n v="20000"/>
    <n v="5"/>
    <n v="71250"/>
    <n v="60000"/>
    <n v="11250"/>
  </r>
  <r>
    <n v="127"/>
    <x v="26"/>
    <x v="26"/>
    <x v="2"/>
    <x v="2"/>
    <x v="0"/>
    <n v="3"/>
    <n v="2500"/>
    <n v="1800"/>
    <n v="10"/>
    <n v="6750"/>
    <n v="5400"/>
    <n v="1350"/>
  </r>
  <r>
    <n v="128"/>
    <x v="27"/>
    <x v="27"/>
    <x v="3"/>
    <x v="3"/>
    <x v="0"/>
    <n v="3"/>
    <n v="1500"/>
    <n v="1100"/>
    <n v="15"/>
    <n v="3825"/>
    <n v="3300"/>
    <n v="525"/>
  </r>
  <r>
    <n v="129"/>
    <x v="28"/>
    <x v="28"/>
    <x v="4"/>
    <x v="4"/>
    <x v="0"/>
    <n v="3"/>
    <n v="800"/>
    <n v="550"/>
    <n v="20"/>
    <n v="1920"/>
    <n v="1650"/>
    <n v="270"/>
  </r>
  <r>
    <n v="130"/>
    <x v="29"/>
    <x v="29"/>
    <x v="5"/>
    <x v="5"/>
    <x v="1"/>
    <n v="3"/>
    <n v="12000"/>
    <n v="9500"/>
    <n v="25"/>
    <n v="27000"/>
    <n v="28500"/>
    <n v="-1500"/>
  </r>
  <r>
    <n v="131"/>
    <x v="30"/>
    <x v="30"/>
    <x v="6"/>
    <x v="6"/>
    <x v="0"/>
    <n v="3"/>
    <n v="18000"/>
    <n v="14500"/>
    <n v="5"/>
    <n v="51300"/>
    <n v="43500"/>
    <n v="7800"/>
  </r>
  <r>
    <n v="132"/>
    <x v="31"/>
    <x v="31"/>
    <x v="7"/>
    <x v="7"/>
    <x v="2"/>
    <n v="3"/>
    <n v="6000"/>
    <n v="4500"/>
    <n v="10"/>
    <n v="16200"/>
    <n v="13500"/>
    <n v="2700"/>
  </r>
  <r>
    <n v="133"/>
    <x v="32"/>
    <x v="32"/>
    <x v="0"/>
    <x v="8"/>
    <x v="2"/>
    <n v="3"/>
    <n v="12000"/>
    <n v="9000"/>
    <n v="15"/>
    <n v="30600"/>
    <n v="27000"/>
    <n v="3600"/>
  </r>
  <r>
    <n v="134"/>
    <x v="33"/>
    <x v="33"/>
    <x v="1"/>
    <x v="9"/>
    <x v="3"/>
    <n v="3"/>
    <n v="120"/>
    <n v="80"/>
    <n v="20"/>
    <n v="288"/>
    <n v="240"/>
    <n v="48"/>
  </r>
  <r>
    <n v="135"/>
    <x v="34"/>
    <x v="34"/>
    <x v="2"/>
    <x v="10"/>
    <x v="3"/>
    <n v="3"/>
    <n v="25"/>
    <n v="15"/>
    <n v="25"/>
    <n v="56.25"/>
    <n v="45"/>
    <n v="11.25"/>
  </r>
  <r>
    <n v="136"/>
    <x v="35"/>
    <x v="35"/>
    <x v="3"/>
    <x v="11"/>
    <x v="4"/>
    <n v="3"/>
    <n v="1800"/>
    <n v="1300"/>
    <n v="5"/>
    <n v="5130"/>
    <n v="3900"/>
    <n v="1230"/>
  </r>
  <r>
    <n v="137"/>
    <x v="36"/>
    <x v="36"/>
    <x v="4"/>
    <x v="0"/>
    <x v="0"/>
    <n v="3"/>
    <n v="55000"/>
    <n v="45000"/>
    <n v="10"/>
    <n v="148500"/>
    <n v="135000"/>
    <n v="13500"/>
  </r>
  <r>
    <n v="138"/>
    <x v="37"/>
    <x v="37"/>
    <x v="5"/>
    <x v="1"/>
    <x v="0"/>
    <n v="3"/>
    <n v="25000"/>
    <n v="20000"/>
    <n v="15"/>
    <n v="63750"/>
    <n v="60000"/>
    <n v="3750"/>
  </r>
  <r>
    <n v="139"/>
    <x v="38"/>
    <x v="38"/>
    <x v="6"/>
    <x v="2"/>
    <x v="0"/>
    <n v="3"/>
    <n v="2500"/>
    <n v="1800"/>
    <n v="20"/>
    <n v="6000"/>
    <n v="5400"/>
    <n v="600"/>
  </r>
  <r>
    <n v="140"/>
    <x v="39"/>
    <x v="39"/>
    <x v="7"/>
    <x v="3"/>
    <x v="0"/>
    <n v="3"/>
    <n v="1500"/>
    <n v="1100"/>
    <n v="25"/>
    <n v="3375"/>
    <n v="3300"/>
    <n v="75"/>
  </r>
  <r>
    <n v="141"/>
    <x v="40"/>
    <x v="40"/>
    <x v="0"/>
    <x v="4"/>
    <x v="0"/>
    <n v="3"/>
    <n v="800"/>
    <n v="550"/>
    <n v="5"/>
    <n v="2280"/>
    <n v="1650"/>
    <n v="630"/>
  </r>
  <r>
    <n v="142"/>
    <x v="41"/>
    <x v="41"/>
    <x v="1"/>
    <x v="5"/>
    <x v="1"/>
    <n v="3"/>
    <n v="12000"/>
    <n v="9500"/>
    <n v="10"/>
    <n v="32400"/>
    <n v="28500"/>
    <n v="3900"/>
  </r>
  <r>
    <n v="143"/>
    <x v="42"/>
    <x v="42"/>
    <x v="2"/>
    <x v="6"/>
    <x v="0"/>
    <n v="3"/>
    <n v="18000"/>
    <n v="14500"/>
    <n v="15"/>
    <n v="45900"/>
    <n v="43500"/>
    <n v="2400"/>
  </r>
  <r>
    <n v="144"/>
    <x v="43"/>
    <x v="43"/>
    <x v="3"/>
    <x v="7"/>
    <x v="2"/>
    <n v="3"/>
    <n v="6000"/>
    <n v="4500"/>
    <n v="20"/>
    <n v="14400"/>
    <n v="13500"/>
    <n v="900"/>
  </r>
  <r>
    <n v="145"/>
    <x v="44"/>
    <x v="44"/>
    <x v="4"/>
    <x v="8"/>
    <x v="2"/>
    <n v="3"/>
    <n v="12000"/>
    <n v="9000"/>
    <n v="25"/>
    <n v="27000"/>
    <n v="27000"/>
    <n v="0"/>
  </r>
  <r>
    <n v="146"/>
    <x v="45"/>
    <x v="45"/>
    <x v="5"/>
    <x v="9"/>
    <x v="3"/>
    <n v="3"/>
    <n v="120"/>
    <n v="80"/>
    <n v="5"/>
    <n v="342"/>
    <n v="240"/>
    <n v="102"/>
  </r>
  <r>
    <n v="147"/>
    <x v="46"/>
    <x v="46"/>
    <x v="6"/>
    <x v="10"/>
    <x v="3"/>
    <n v="3"/>
    <n v="25"/>
    <n v="15"/>
    <n v="10"/>
    <n v="67.5"/>
    <n v="45"/>
    <n v="22.5"/>
  </r>
  <r>
    <n v="148"/>
    <x v="47"/>
    <x v="47"/>
    <x v="7"/>
    <x v="11"/>
    <x v="4"/>
    <n v="3"/>
    <n v="1800"/>
    <n v="1300"/>
    <n v="15"/>
    <n v="4590"/>
    <n v="3900"/>
    <n v="690"/>
  </r>
  <r>
    <n v="149"/>
    <x v="48"/>
    <x v="48"/>
    <x v="0"/>
    <x v="0"/>
    <x v="0"/>
    <n v="3"/>
    <n v="55000"/>
    <n v="45000"/>
    <n v="20"/>
    <n v="132000"/>
    <n v="135000"/>
    <n v="-3000"/>
  </r>
  <r>
    <n v="150"/>
    <x v="49"/>
    <x v="49"/>
    <x v="1"/>
    <x v="1"/>
    <x v="0"/>
    <n v="3"/>
    <n v="25000"/>
    <n v="20000"/>
    <n v="25"/>
    <n v="56250"/>
    <n v="60000"/>
    <n v="-3750"/>
  </r>
  <r>
    <n v="151"/>
    <x v="50"/>
    <x v="50"/>
    <x v="2"/>
    <x v="2"/>
    <x v="0"/>
    <n v="3"/>
    <n v="2500"/>
    <n v="1800"/>
    <n v="5"/>
    <n v="7125"/>
    <n v="5400"/>
    <n v="1725"/>
  </r>
  <r>
    <n v="152"/>
    <x v="51"/>
    <x v="51"/>
    <x v="3"/>
    <x v="3"/>
    <x v="0"/>
    <n v="3"/>
    <n v="1500"/>
    <n v="1100"/>
    <n v="10"/>
    <n v="4050"/>
    <n v="3300"/>
    <n v="750"/>
  </r>
  <r>
    <n v="153"/>
    <x v="52"/>
    <x v="52"/>
    <x v="4"/>
    <x v="4"/>
    <x v="0"/>
    <n v="3"/>
    <n v="800"/>
    <n v="550"/>
    <n v="15"/>
    <n v="2040"/>
    <n v="1650"/>
    <n v="390"/>
  </r>
  <r>
    <n v="154"/>
    <x v="53"/>
    <x v="53"/>
    <x v="5"/>
    <x v="5"/>
    <x v="1"/>
    <n v="3"/>
    <n v="12000"/>
    <n v="9500"/>
    <n v="20"/>
    <n v="28800"/>
    <n v="28500"/>
    <n v="300"/>
  </r>
  <r>
    <n v="155"/>
    <x v="54"/>
    <x v="54"/>
    <x v="6"/>
    <x v="6"/>
    <x v="0"/>
    <n v="3"/>
    <n v="18000"/>
    <n v="14500"/>
    <n v="25"/>
    <n v="40500"/>
    <n v="43500"/>
    <n v="-3000"/>
  </r>
  <r>
    <n v="156"/>
    <x v="55"/>
    <x v="55"/>
    <x v="7"/>
    <x v="7"/>
    <x v="2"/>
    <n v="3"/>
    <n v="6000"/>
    <n v="4500"/>
    <n v="5"/>
    <n v="17100"/>
    <n v="13500"/>
    <n v="3600"/>
  </r>
  <r>
    <n v="157"/>
    <x v="56"/>
    <x v="56"/>
    <x v="0"/>
    <x v="8"/>
    <x v="2"/>
    <n v="3"/>
    <n v="12000"/>
    <n v="9000"/>
    <n v="10"/>
    <n v="32400"/>
    <n v="27000"/>
    <n v="5400"/>
  </r>
  <r>
    <n v="158"/>
    <x v="57"/>
    <x v="57"/>
    <x v="1"/>
    <x v="9"/>
    <x v="3"/>
    <n v="3"/>
    <n v="120"/>
    <n v="80"/>
    <n v="15"/>
    <n v="306"/>
    <n v="240"/>
    <n v="66"/>
  </r>
  <r>
    <n v="159"/>
    <x v="58"/>
    <x v="58"/>
    <x v="2"/>
    <x v="10"/>
    <x v="3"/>
    <n v="3"/>
    <n v="25"/>
    <n v="15"/>
    <n v="20"/>
    <n v="60"/>
    <n v="45"/>
    <n v="15"/>
  </r>
  <r>
    <n v="160"/>
    <x v="59"/>
    <x v="59"/>
    <x v="3"/>
    <x v="11"/>
    <x v="4"/>
    <n v="3"/>
    <n v="1800"/>
    <n v="1300"/>
    <n v="25"/>
    <n v="4050"/>
    <n v="3900"/>
    <n v="150"/>
  </r>
  <r>
    <n v="161"/>
    <x v="60"/>
    <x v="60"/>
    <x v="4"/>
    <x v="0"/>
    <x v="0"/>
    <n v="3"/>
    <n v="55000"/>
    <n v="45000"/>
    <n v="5"/>
    <n v="156750"/>
    <n v="135000"/>
    <n v="21750"/>
  </r>
  <r>
    <n v="162"/>
    <x v="61"/>
    <x v="61"/>
    <x v="5"/>
    <x v="1"/>
    <x v="0"/>
    <n v="3"/>
    <n v="25000"/>
    <n v="20000"/>
    <n v="10"/>
    <n v="67500"/>
    <n v="60000"/>
    <n v="7500"/>
  </r>
  <r>
    <n v="163"/>
    <x v="62"/>
    <x v="62"/>
    <x v="6"/>
    <x v="2"/>
    <x v="0"/>
    <n v="3"/>
    <n v="2500"/>
    <n v="1800"/>
    <n v="15"/>
    <n v="6375"/>
    <n v="5400"/>
    <n v="975"/>
  </r>
  <r>
    <n v="164"/>
    <x v="63"/>
    <x v="63"/>
    <x v="7"/>
    <x v="3"/>
    <x v="0"/>
    <n v="3"/>
    <n v="1500"/>
    <n v="1100"/>
    <n v="20"/>
    <n v="3600"/>
    <n v="3300"/>
    <n v="300"/>
  </r>
  <r>
    <n v="165"/>
    <x v="64"/>
    <x v="64"/>
    <x v="0"/>
    <x v="4"/>
    <x v="0"/>
    <n v="3"/>
    <n v="800"/>
    <n v="550"/>
    <n v="25"/>
    <n v="1800"/>
    <n v="1650"/>
    <n v="150"/>
  </r>
  <r>
    <n v="166"/>
    <x v="65"/>
    <x v="65"/>
    <x v="1"/>
    <x v="5"/>
    <x v="1"/>
    <n v="3"/>
    <n v="12000"/>
    <n v="9500"/>
    <n v="5"/>
    <n v="34200"/>
    <n v="28500"/>
    <n v="5700"/>
  </r>
  <r>
    <n v="167"/>
    <x v="66"/>
    <x v="66"/>
    <x v="2"/>
    <x v="6"/>
    <x v="0"/>
    <n v="3"/>
    <n v="18000"/>
    <n v="14500"/>
    <n v="10"/>
    <n v="48600"/>
    <n v="43500"/>
    <n v="5100"/>
  </r>
  <r>
    <n v="168"/>
    <x v="67"/>
    <x v="67"/>
    <x v="3"/>
    <x v="7"/>
    <x v="2"/>
    <n v="3"/>
    <n v="6000"/>
    <n v="4500"/>
    <n v="15"/>
    <n v="15300"/>
    <n v="13500"/>
    <n v="1800"/>
  </r>
  <r>
    <n v="169"/>
    <x v="68"/>
    <x v="68"/>
    <x v="4"/>
    <x v="8"/>
    <x v="2"/>
    <n v="3"/>
    <n v="12000"/>
    <n v="9000"/>
    <n v="20"/>
    <n v="28800"/>
    <n v="27000"/>
    <n v="1800"/>
  </r>
  <r>
    <n v="170"/>
    <x v="69"/>
    <x v="69"/>
    <x v="5"/>
    <x v="9"/>
    <x v="3"/>
    <n v="3"/>
    <n v="120"/>
    <n v="80"/>
    <n v="25"/>
    <n v="270"/>
    <n v="240"/>
    <n v="30"/>
  </r>
  <r>
    <n v="171"/>
    <x v="70"/>
    <x v="70"/>
    <x v="6"/>
    <x v="10"/>
    <x v="3"/>
    <n v="3"/>
    <n v="25"/>
    <n v="15"/>
    <n v="5"/>
    <n v="71.25"/>
    <n v="45"/>
    <n v="26.25"/>
  </r>
  <r>
    <n v="172"/>
    <x v="71"/>
    <x v="71"/>
    <x v="7"/>
    <x v="11"/>
    <x v="4"/>
    <n v="3"/>
    <n v="1800"/>
    <n v="1300"/>
    <n v="10"/>
    <n v="4860"/>
    <n v="3900"/>
    <n v="960"/>
  </r>
  <r>
    <n v="173"/>
    <x v="72"/>
    <x v="72"/>
    <x v="0"/>
    <x v="0"/>
    <x v="0"/>
    <n v="3"/>
    <n v="55000"/>
    <n v="45000"/>
    <n v="15"/>
    <n v="140250"/>
    <n v="135000"/>
    <n v="5250"/>
  </r>
  <r>
    <n v="174"/>
    <x v="73"/>
    <x v="73"/>
    <x v="1"/>
    <x v="1"/>
    <x v="0"/>
    <n v="3"/>
    <n v="25000"/>
    <n v="20000"/>
    <n v="20"/>
    <n v="60000"/>
    <n v="60000"/>
    <n v="0"/>
  </r>
  <r>
    <n v="175"/>
    <x v="74"/>
    <x v="74"/>
    <x v="2"/>
    <x v="2"/>
    <x v="0"/>
    <n v="3"/>
    <n v="2500"/>
    <n v="1800"/>
    <n v="25"/>
    <n v="5625"/>
    <n v="5400"/>
    <n v="225"/>
  </r>
  <r>
    <n v="176"/>
    <x v="75"/>
    <x v="75"/>
    <x v="3"/>
    <x v="3"/>
    <x v="0"/>
    <n v="3"/>
    <n v="1500"/>
    <n v="1100"/>
    <n v="15"/>
    <n v="3825"/>
    <n v="3300"/>
    <n v="525"/>
  </r>
  <r>
    <n v="177"/>
    <x v="76"/>
    <x v="76"/>
    <x v="4"/>
    <x v="4"/>
    <x v="0"/>
    <n v="3"/>
    <n v="800"/>
    <n v="550"/>
    <n v="20"/>
    <n v="1920"/>
    <n v="1650"/>
    <n v="270"/>
  </r>
  <r>
    <n v="178"/>
    <x v="77"/>
    <x v="77"/>
    <x v="5"/>
    <x v="5"/>
    <x v="1"/>
    <n v="3"/>
    <n v="12000"/>
    <n v="9500"/>
    <n v="25"/>
    <n v="27000"/>
    <n v="28500"/>
    <n v="-1500"/>
  </r>
  <r>
    <n v="179"/>
    <x v="78"/>
    <x v="78"/>
    <x v="6"/>
    <x v="6"/>
    <x v="0"/>
    <n v="3"/>
    <n v="18000"/>
    <n v="14500"/>
    <n v="5"/>
    <n v="51300"/>
    <n v="43500"/>
    <n v="7800"/>
  </r>
  <r>
    <n v="180"/>
    <x v="79"/>
    <x v="79"/>
    <x v="7"/>
    <x v="7"/>
    <x v="2"/>
    <n v="3"/>
    <n v="6000"/>
    <n v="4500"/>
    <n v="10"/>
    <n v="16200"/>
    <n v="13500"/>
    <n v="2700"/>
  </r>
  <r>
    <n v="181"/>
    <x v="80"/>
    <x v="80"/>
    <x v="0"/>
    <x v="8"/>
    <x v="2"/>
    <n v="3"/>
    <n v="12000"/>
    <n v="9000"/>
    <n v="15"/>
    <n v="30600"/>
    <n v="27000"/>
    <n v="3600"/>
  </r>
  <r>
    <n v="182"/>
    <x v="81"/>
    <x v="81"/>
    <x v="1"/>
    <x v="9"/>
    <x v="3"/>
    <n v="3"/>
    <n v="120"/>
    <n v="80"/>
    <n v="20"/>
    <n v="288"/>
    <n v="240"/>
    <n v="48"/>
  </r>
  <r>
    <n v="183"/>
    <x v="82"/>
    <x v="82"/>
    <x v="2"/>
    <x v="10"/>
    <x v="3"/>
    <n v="3"/>
    <n v="25"/>
    <n v="15"/>
    <n v="25"/>
    <n v="56.25"/>
    <n v="45"/>
    <n v="11.25"/>
  </r>
  <r>
    <n v="184"/>
    <x v="83"/>
    <x v="83"/>
    <x v="3"/>
    <x v="11"/>
    <x v="4"/>
    <n v="3"/>
    <n v="1800"/>
    <n v="1300"/>
    <n v="5"/>
    <n v="5130"/>
    <n v="3900"/>
    <n v="1230"/>
  </r>
  <r>
    <n v="185"/>
    <x v="84"/>
    <x v="84"/>
    <x v="4"/>
    <x v="0"/>
    <x v="0"/>
    <n v="1"/>
    <n v="55000"/>
    <n v="45000"/>
    <n v="10"/>
    <n v="49500"/>
    <n v="45000"/>
    <n v="4500"/>
  </r>
  <r>
    <n v="186"/>
    <x v="85"/>
    <x v="85"/>
    <x v="5"/>
    <x v="1"/>
    <x v="0"/>
    <n v="1"/>
    <n v="25000"/>
    <n v="20000"/>
    <n v="15"/>
    <n v="21250"/>
    <n v="20000"/>
    <n v="1250"/>
  </r>
  <r>
    <n v="187"/>
    <x v="86"/>
    <x v="86"/>
    <x v="6"/>
    <x v="2"/>
    <x v="0"/>
    <n v="1"/>
    <n v="2500"/>
    <n v="1800"/>
    <n v="20"/>
    <n v="2000"/>
    <n v="1800"/>
    <n v="200"/>
  </r>
  <r>
    <n v="188"/>
    <x v="87"/>
    <x v="87"/>
    <x v="7"/>
    <x v="3"/>
    <x v="0"/>
    <n v="1"/>
    <n v="1500"/>
    <n v="1100"/>
    <n v="25"/>
    <n v="1125"/>
    <n v="1100"/>
    <n v="25"/>
  </r>
  <r>
    <n v="189"/>
    <x v="88"/>
    <x v="88"/>
    <x v="0"/>
    <x v="4"/>
    <x v="0"/>
    <n v="1"/>
    <n v="800"/>
    <n v="550"/>
    <n v="5"/>
    <n v="760"/>
    <n v="550"/>
    <n v="210"/>
  </r>
  <r>
    <n v="190"/>
    <x v="89"/>
    <x v="89"/>
    <x v="1"/>
    <x v="5"/>
    <x v="1"/>
    <n v="1"/>
    <n v="12000"/>
    <n v="9500"/>
    <n v="10"/>
    <n v="10800"/>
    <n v="9500"/>
    <n v="1300"/>
  </r>
  <r>
    <n v="191"/>
    <x v="90"/>
    <x v="90"/>
    <x v="2"/>
    <x v="6"/>
    <x v="0"/>
    <n v="1"/>
    <n v="18000"/>
    <n v="14500"/>
    <n v="15"/>
    <n v="15300"/>
    <n v="14500"/>
    <n v="800"/>
  </r>
  <r>
    <n v="192"/>
    <x v="91"/>
    <x v="91"/>
    <x v="3"/>
    <x v="7"/>
    <x v="2"/>
    <n v="1"/>
    <n v="6000"/>
    <n v="4500"/>
    <n v="20"/>
    <n v="4800"/>
    <n v="4500"/>
    <n v="300"/>
  </r>
  <r>
    <n v="193"/>
    <x v="92"/>
    <x v="92"/>
    <x v="4"/>
    <x v="8"/>
    <x v="2"/>
    <n v="1"/>
    <n v="12000"/>
    <n v="9000"/>
    <n v="25"/>
    <n v="9000"/>
    <n v="9000"/>
    <n v="0"/>
  </r>
  <r>
    <n v="194"/>
    <x v="93"/>
    <x v="93"/>
    <x v="5"/>
    <x v="9"/>
    <x v="3"/>
    <n v="1"/>
    <n v="120"/>
    <n v="80"/>
    <n v="5"/>
    <n v="114"/>
    <n v="80"/>
    <n v="34"/>
  </r>
  <r>
    <n v="195"/>
    <x v="94"/>
    <x v="94"/>
    <x v="6"/>
    <x v="10"/>
    <x v="3"/>
    <n v="1"/>
    <n v="25"/>
    <n v="15"/>
    <n v="10"/>
    <n v="22.5"/>
    <n v="15"/>
    <n v="7.5"/>
  </r>
  <r>
    <n v="196"/>
    <x v="95"/>
    <x v="95"/>
    <x v="7"/>
    <x v="11"/>
    <x v="4"/>
    <n v="1"/>
    <n v="1800"/>
    <n v="1300"/>
    <n v="15"/>
    <n v="1530"/>
    <n v="1300"/>
    <n v="230"/>
  </r>
  <r>
    <n v="197"/>
    <x v="96"/>
    <x v="96"/>
    <x v="0"/>
    <x v="0"/>
    <x v="0"/>
    <n v="1"/>
    <n v="55000"/>
    <n v="45000"/>
    <n v="20"/>
    <n v="44000"/>
    <n v="45000"/>
    <n v="-1000"/>
  </r>
  <r>
    <n v="198"/>
    <x v="97"/>
    <x v="97"/>
    <x v="1"/>
    <x v="1"/>
    <x v="0"/>
    <n v="1"/>
    <n v="25000"/>
    <n v="20000"/>
    <n v="25"/>
    <n v="18750"/>
    <n v="20000"/>
    <n v="-1250"/>
  </r>
  <r>
    <n v="199"/>
    <x v="98"/>
    <x v="98"/>
    <x v="2"/>
    <x v="2"/>
    <x v="0"/>
    <n v="2"/>
    <n v="2500"/>
    <n v="1800"/>
    <n v="5"/>
    <n v="4750"/>
    <n v="3600"/>
    <n v="1150"/>
  </r>
  <r>
    <n v="200"/>
    <x v="99"/>
    <x v="99"/>
    <x v="3"/>
    <x v="3"/>
    <x v="0"/>
    <n v="2"/>
    <n v="1500"/>
    <n v="1100"/>
    <n v="10"/>
    <n v="2700"/>
    <n v="2200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0F6128-137E-4DFD-A099-F7472BF781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5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10" baseField="0" baseItem="1" numFmtId="164"/>
    <dataField name="Sum of Cost" fld="11" baseField="0" baseItem="1" numFmtId="164"/>
    <dataField name="Sum of Profit" fld="12" baseField="0" baseItem="1" numFmtId="164"/>
    <dataField name="Sum of Quantity" fld="6" baseField="0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6E5BF-B372-4508-97B1-1637E09C00A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15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axis="axisRow" showAll="0" measureFilter="1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items count="9">
        <item x="1"/>
        <item x="0"/>
        <item x="7"/>
        <item x="5"/>
        <item x="2"/>
        <item x="6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11">
    <i>
      <x v="60"/>
    </i>
    <i>
      <x v="36"/>
    </i>
    <i>
      <x v="72"/>
    </i>
    <i>
      <x v="48"/>
    </i>
    <i>
      <x v="24"/>
    </i>
    <i>
      <x v="12"/>
    </i>
    <i>
      <x v="25"/>
    </i>
    <i>
      <x v="61"/>
    </i>
    <i>
      <x v="37"/>
    </i>
    <i>
      <x v="73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8B7C3-A926-42E7-AD11-4E1FCE41C59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15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 sortType="descending">
      <items count="9">
        <item x="1"/>
        <item x="0"/>
        <item x="7"/>
        <item x="5"/>
        <item x="2"/>
        <item x="6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9">
    <i>
      <x v="1"/>
    </i>
    <i>
      <x v="7"/>
    </i>
    <i>
      <x/>
    </i>
    <i>
      <x v="3"/>
    </i>
    <i>
      <x v="5"/>
    </i>
    <i>
      <x v="4"/>
    </i>
    <i>
      <x v="2"/>
    </i>
    <i>
      <x v="6"/>
    </i>
    <i t="grand">
      <x/>
    </i>
  </rowItems>
  <colItems count="1">
    <i/>
  </colItems>
  <dataFields count="1">
    <dataField name="Sum of Sales" fld="10" baseField="3" baseItem="2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61CD56-B931-4EF7-8AC3-CC681699993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5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axis="axisRow" showAll="0" sortType="descending">
      <items count="13">
        <item x="11"/>
        <item x="7"/>
        <item x="8"/>
        <item x="2"/>
        <item x="3"/>
        <item x="0"/>
        <item x="1"/>
        <item x="6"/>
        <item x="4"/>
        <item x="9"/>
        <item x="1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13">
    <i>
      <x v="5"/>
    </i>
    <i>
      <x v="6"/>
    </i>
    <i>
      <x v="7"/>
    </i>
    <i>
      <x v="11"/>
    </i>
    <i>
      <x v="2"/>
    </i>
    <i>
      <x v="1"/>
    </i>
    <i>
      <x v="3"/>
    </i>
    <i>
      <x/>
    </i>
    <i>
      <x v="4"/>
    </i>
    <i>
      <x v="8"/>
    </i>
    <i>
      <x v="9"/>
    </i>
    <i>
      <x v="10"/>
    </i>
    <i t="grand">
      <x/>
    </i>
  </rowItems>
  <colItems count="1">
    <i/>
  </colItems>
  <dataFields count="1">
    <dataField name="Sum of Sal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A3AF0-8EB7-45CD-BCB8-173065DD24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:B7" firstHeaderRow="1" firstDataRow="1" firstDataCol="1"/>
  <pivotFields count="15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axis="axisRow" showAll="0" sortType="descending">
      <items count="6">
        <item x="4"/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5"/>
  </rowFields>
  <rowItems count="6">
    <i>
      <x v="1"/>
    </i>
    <i>
      <x v="2"/>
    </i>
    <i>
      <x v="3"/>
    </i>
    <i>
      <x/>
    </i>
    <i>
      <x v="4"/>
    </i>
    <i t="grand">
      <x/>
    </i>
  </rowItems>
  <colItems count="1">
    <i/>
  </colItems>
  <dataFields count="1">
    <dataField name="Sum of Profit" fld="12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446AB-41ED-431B-9BEA-0233FA03208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:B7" firstHeaderRow="1" firstDataRow="1" firstDataCol="1"/>
  <pivotFields count="15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4"/>
    <field x="13"/>
  </rowFields>
  <rowItems count="6">
    <i>
      <x v="1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name="Sum of Sales" fld="10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0F55B-E0A3-4AD8-B031-01052DF7E232}" name="Table1" displayName="Table1" ref="A1:M101" totalsRowShown="0" headerRowDxfId="16" headerRowBorderDxfId="15" tableBorderDxfId="14" totalsRowBorderDxfId="13">
  <autoFilter ref="A1:M101" xr:uid="{9040F55B-E0A3-4AD8-B031-01052DF7E232}"/>
  <tableColumns count="13">
    <tableColumn id="1" xr3:uid="{74F42369-AEA1-429D-805D-F06CB95C2B8E}" name="Order ID" dataDxfId="12"/>
    <tableColumn id="2" xr3:uid="{707BA467-A9D9-48A4-81FB-2DE97F049CC4}" name="Order Date" dataDxfId="11"/>
    <tableColumn id="3" xr3:uid="{1B9DB6C2-80B8-4FB2-AEBD-D4C0D8BB15C7}" name="Customer Name" dataDxfId="10"/>
    <tableColumn id="4" xr3:uid="{FEDBC67F-3FB3-49B9-8AF5-D8275F31932A}" name="City" dataDxfId="9"/>
    <tableColumn id="5" xr3:uid="{57B4A1D3-75CC-4079-A4BC-79992DBA6ED8}" name="Product" dataDxfId="8"/>
    <tableColumn id="6" xr3:uid="{BED1763B-3589-41B2-8632-E43FEB8798FC}" name="Category" dataDxfId="7"/>
    <tableColumn id="7" xr3:uid="{B67FEBE9-7462-4F0E-9B68-41853D55716B}" name="Quantity" dataDxfId="6"/>
    <tableColumn id="8" xr3:uid="{00767C47-E213-43F2-B3CF-B4A783E40274}" name="Unit Price" dataDxfId="5"/>
    <tableColumn id="9" xr3:uid="{A70569CA-CCBD-4E3C-8673-4FA5BE12FB76}" name="Cost per Unit" dataDxfId="4"/>
    <tableColumn id="10" xr3:uid="{11DCE591-8D09-4101-829C-5164665730BE}" name="Discount (%)" dataDxfId="3"/>
    <tableColumn id="11" xr3:uid="{09D81B98-5215-40BA-AB3F-901932F67947}" name="Sales" dataDxfId="2"/>
    <tableColumn id="12" xr3:uid="{EBD6FD1E-1B8D-4AEC-9164-0D518ED8C5AC}" name="Cost" dataDxfId="1"/>
    <tableColumn id="13" xr3:uid="{AF09EE17-BD93-48A4-BF58-FBC56904C76A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4F83B-3BB5-4EC0-8C9C-86B1E9EB9895}">
  <dimension ref="A1:M101"/>
  <sheetViews>
    <sheetView workbookViewId="0">
      <selection activeCell="I20" sqref="I20"/>
    </sheetView>
  </sheetViews>
  <sheetFormatPr defaultRowHeight="14.4" x14ac:dyDescent="0.3"/>
  <cols>
    <col min="1" max="1" width="9.77734375" customWidth="1"/>
    <col min="2" max="2" width="11.88671875" customWidth="1"/>
    <col min="3" max="3" width="16.33203125" customWidth="1"/>
    <col min="5" max="5" width="9.44140625" customWidth="1"/>
    <col min="6" max="6" width="10.21875" customWidth="1"/>
    <col min="7" max="7" width="10" customWidth="1"/>
    <col min="8" max="8" width="11" customWidth="1"/>
    <col min="9" max="9" width="13.5546875" customWidth="1"/>
    <col min="10" max="10" width="13.44140625" customWidth="1"/>
  </cols>
  <sheetData>
    <row r="1" spans="1:13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</row>
    <row r="2" spans="1:13" x14ac:dyDescent="0.3">
      <c r="A2" s="4">
        <v>101</v>
      </c>
      <c r="B2" s="2">
        <v>45738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1</v>
      </c>
      <c r="H2" s="1">
        <v>55000</v>
      </c>
      <c r="I2" s="3">
        <v>45000</v>
      </c>
      <c r="J2" s="1">
        <v>5</v>
      </c>
      <c r="K2" s="1">
        <v>52250</v>
      </c>
      <c r="L2" s="1">
        <v>45000</v>
      </c>
      <c r="M2" s="5">
        <v>7250</v>
      </c>
    </row>
    <row r="3" spans="1:13" x14ac:dyDescent="0.3">
      <c r="A3" s="4">
        <v>102</v>
      </c>
      <c r="B3" s="2">
        <v>45739</v>
      </c>
      <c r="C3" s="1" t="s">
        <v>17</v>
      </c>
      <c r="D3" s="1" t="s">
        <v>18</v>
      </c>
      <c r="E3" s="1" t="s">
        <v>19</v>
      </c>
      <c r="F3" s="1" t="s">
        <v>16</v>
      </c>
      <c r="G3" s="1">
        <v>1</v>
      </c>
      <c r="H3" s="1">
        <v>25000</v>
      </c>
      <c r="I3" s="3">
        <v>20000</v>
      </c>
      <c r="J3" s="1">
        <v>10</v>
      </c>
      <c r="K3" s="1">
        <v>22500</v>
      </c>
      <c r="L3" s="1">
        <v>20000</v>
      </c>
      <c r="M3" s="5">
        <v>2500</v>
      </c>
    </row>
    <row r="4" spans="1:13" x14ac:dyDescent="0.3">
      <c r="A4" s="4">
        <v>103</v>
      </c>
      <c r="B4" s="2">
        <v>45740</v>
      </c>
      <c r="C4" s="1" t="s">
        <v>20</v>
      </c>
      <c r="D4" s="1" t="s">
        <v>21</v>
      </c>
      <c r="E4" s="1" t="s">
        <v>22</v>
      </c>
      <c r="F4" s="1" t="s">
        <v>16</v>
      </c>
      <c r="G4" s="1">
        <v>1</v>
      </c>
      <c r="H4" s="1">
        <v>2500</v>
      </c>
      <c r="I4" s="3">
        <v>1800</v>
      </c>
      <c r="J4" s="1">
        <v>15</v>
      </c>
      <c r="K4" s="1">
        <v>2125</v>
      </c>
      <c r="L4" s="1">
        <v>1800</v>
      </c>
      <c r="M4" s="5">
        <v>325</v>
      </c>
    </row>
    <row r="5" spans="1:13" x14ac:dyDescent="0.3">
      <c r="A5" s="4">
        <v>104</v>
      </c>
      <c r="B5" s="2">
        <v>45741</v>
      </c>
      <c r="C5" s="1" t="s">
        <v>23</v>
      </c>
      <c r="D5" s="1" t="s">
        <v>24</v>
      </c>
      <c r="E5" s="1" t="s">
        <v>25</v>
      </c>
      <c r="F5" s="1" t="s">
        <v>16</v>
      </c>
      <c r="G5" s="1">
        <v>1</v>
      </c>
      <c r="H5" s="1">
        <v>1500</v>
      </c>
      <c r="I5" s="3">
        <v>1100</v>
      </c>
      <c r="J5" s="1">
        <v>20</v>
      </c>
      <c r="K5" s="1">
        <v>1200</v>
      </c>
      <c r="L5" s="1">
        <v>1100</v>
      </c>
      <c r="M5" s="5">
        <v>100</v>
      </c>
    </row>
    <row r="6" spans="1:13" x14ac:dyDescent="0.3">
      <c r="A6" s="4">
        <v>105</v>
      </c>
      <c r="B6" s="2">
        <v>45742</v>
      </c>
      <c r="C6" s="1" t="s">
        <v>26</v>
      </c>
      <c r="D6" s="1" t="s">
        <v>27</v>
      </c>
      <c r="E6" s="1" t="s">
        <v>28</v>
      </c>
      <c r="F6" s="1" t="s">
        <v>16</v>
      </c>
      <c r="G6" s="1">
        <v>1</v>
      </c>
      <c r="H6" s="1">
        <v>800</v>
      </c>
      <c r="I6" s="1">
        <v>550</v>
      </c>
      <c r="J6" s="1">
        <v>25</v>
      </c>
      <c r="K6" s="1">
        <v>600</v>
      </c>
      <c r="L6" s="1">
        <v>550</v>
      </c>
      <c r="M6" s="5">
        <v>50</v>
      </c>
    </row>
    <row r="7" spans="1:13" x14ac:dyDescent="0.3">
      <c r="A7" s="4">
        <v>106</v>
      </c>
      <c r="B7" s="2">
        <v>45743</v>
      </c>
      <c r="C7" s="1" t="s">
        <v>29</v>
      </c>
      <c r="D7" s="1" t="s">
        <v>30</v>
      </c>
      <c r="E7" s="1" t="s">
        <v>31</v>
      </c>
      <c r="F7" s="1" t="s">
        <v>32</v>
      </c>
      <c r="G7" s="1">
        <v>1</v>
      </c>
      <c r="H7" s="1">
        <v>12000</v>
      </c>
      <c r="I7" s="3">
        <v>9500</v>
      </c>
      <c r="J7" s="1">
        <v>5</v>
      </c>
      <c r="K7" s="1">
        <v>11400</v>
      </c>
      <c r="L7" s="1">
        <v>9500</v>
      </c>
      <c r="M7" s="5">
        <v>1900</v>
      </c>
    </row>
    <row r="8" spans="1:13" x14ac:dyDescent="0.3">
      <c r="A8" s="4">
        <v>107</v>
      </c>
      <c r="B8" s="2">
        <v>45744</v>
      </c>
      <c r="C8" s="1" t="s">
        <v>33</v>
      </c>
      <c r="D8" s="1" t="s">
        <v>34</v>
      </c>
      <c r="E8" s="1" t="s">
        <v>35</v>
      </c>
      <c r="F8" s="1" t="s">
        <v>16</v>
      </c>
      <c r="G8" s="1">
        <v>1</v>
      </c>
      <c r="H8" s="1">
        <v>18000</v>
      </c>
      <c r="I8" s="3">
        <v>14500</v>
      </c>
      <c r="J8" s="1">
        <v>10</v>
      </c>
      <c r="K8" s="1">
        <v>16200</v>
      </c>
      <c r="L8" s="1">
        <v>14500</v>
      </c>
      <c r="M8" s="5">
        <v>1700</v>
      </c>
    </row>
    <row r="9" spans="1:13" x14ac:dyDescent="0.3">
      <c r="A9" s="4">
        <v>108</v>
      </c>
      <c r="B9" s="2">
        <v>45745</v>
      </c>
      <c r="C9" s="1" t="s">
        <v>36</v>
      </c>
      <c r="D9" s="1" t="s">
        <v>37</v>
      </c>
      <c r="E9" s="1" t="s">
        <v>38</v>
      </c>
      <c r="F9" s="1" t="s">
        <v>39</v>
      </c>
      <c r="G9" s="1">
        <v>1</v>
      </c>
      <c r="H9" s="1">
        <v>6000</v>
      </c>
      <c r="I9" s="3">
        <v>4500</v>
      </c>
      <c r="J9" s="1">
        <v>15</v>
      </c>
      <c r="K9" s="1">
        <v>5100</v>
      </c>
      <c r="L9" s="1">
        <v>4500</v>
      </c>
      <c r="M9" s="5">
        <v>600</v>
      </c>
    </row>
    <row r="10" spans="1:13" x14ac:dyDescent="0.3">
      <c r="A10" s="4">
        <v>109</v>
      </c>
      <c r="B10" s="2">
        <v>45746</v>
      </c>
      <c r="C10" s="1" t="s">
        <v>40</v>
      </c>
      <c r="D10" s="1" t="s">
        <v>14</v>
      </c>
      <c r="E10" s="1" t="s">
        <v>41</v>
      </c>
      <c r="F10" s="1" t="s">
        <v>39</v>
      </c>
      <c r="G10" s="1">
        <v>1</v>
      </c>
      <c r="H10" s="1">
        <v>12000</v>
      </c>
      <c r="I10" s="3">
        <v>9000</v>
      </c>
      <c r="J10" s="1">
        <v>20</v>
      </c>
      <c r="K10" s="1">
        <v>9600</v>
      </c>
      <c r="L10" s="1">
        <v>9000</v>
      </c>
      <c r="M10" s="5">
        <v>600</v>
      </c>
    </row>
    <row r="11" spans="1:13" x14ac:dyDescent="0.3">
      <c r="A11" s="4">
        <v>110</v>
      </c>
      <c r="B11" s="2">
        <v>45747</v>
      </c>
      <c r="C11" s="1" t="s">
        <v>42</v>
      </c>
      <c r="D11" s="1" t="s">
        <v>18</v>
      </c>
      <c r="E11" s="1" t="s">
        <v>43</v>
      </c>
      <c r="F11" s="1" t="s">
        <v>44</v>
      </c>
      <c r="G11" s="1">
        <v>1</v>
      </c>
      <c r="H11" s="1">
        <v>120</v>
      </c>
      <c r="I11" s="1">
        <v>80</v>
      </c>
      <c r="J11" s="1">
        <v>25</v>
      </c>
      <c r="K11" s="1">
        <v>90</v>
      </c>
      <c r="L11" s="1">
        <v>80</v>
      </c>
      <c r="M11" s="5">
        <v>10</v>
      </c>
    </row>
    <row r="12" spans="1:13" x14ac:dyDescent="0.3">
      <c r="A12" s="4">
        <v>111</v>
      </c>
      <c r="B12" s="2">
        <v>45748</v>
      </c>
      <c r="C12" s="1" t="s">
        <v>45</v>
      </c>
      <c r="D12" s="1" t="s">
        <v>21</v>
      </c>
      <c r="E12" s="1" t="s">
        <v>46</v>
      </c>
      <c r="F12" s="1" t="s">
        <v>44</v>
      </c>
      <c r="G12" s="1">
        <v>1</v>
      </c>
      <c r="H12" s="1">
        <v>25</v>
      </c>
      <c r="I12" s="1">
        <v>15</v>
      </c>
      <c r="J12" s="1">
        <v>5</v>
      </c>
      <c r="K12" s="1">
        <v>23.75</v>
      </c>
      <c r="L12" s="1">
        <v>15</v>
      </c>
      <c r="M12" s="5">
        <v>8.75</v>
      </c>
    </row>
    <row r="13" spans="1:13" x14ac:dyDescent="0.3">
      <c r="A13" s="4">
        <v>112</v>
      </c>
      <c r="B13" s="2">
        <v>45749</v>
      </c>
      <c r="C13" s="1" t="s">
        <v>47</v>
      </c>
      <c r="D13" s="1" t="s">
        <v>24</v>
      </c>
      <c r="E13" s="1" t="s">
        <v>48</v>
      </c>
      <c r="F13" s="1" t="s">
        <v>49</v>
      </c>
      <c r="G13" s="1">
        <v>2</v>
      </c>
      <c r="H13" s="1">
        <v>1800</v>
      </c>
      <c r="I13" s="3">
        <v>1300</v>
      </c>
      <c r="J13" s="1">
        <v>10</v>
      </c>
      <c r="K13" s="1">
        <v>3240</v>
      </c>
      <c r="L13" s="1">
        <v>2600</v>
      </c>
      <c r="M13" s="5">
        <v>640</v>
      </c>
    </row>
    <row r="14" spans="1:13" x14ac:dyDescent="0.3">
      <c r="A14" s="4">
        <v>113</v>
      </c>
      <c r="B14" s="2">
        <v>45750</v>
      </c>
      <c r="C14" s="1" t="s">
        <v>50</v>
      </c>
      <c r="D14" s="1" t="s">
        <v>27</v>
      </c>
      <c r="E14" s="1" t="s">
        <v>15</v>
      </c>
      <c r="F14" s="1" t="s">
        <v>16</v>
      </c>
      <c r="G14" s="1">
        <v>2</v>
      </c>
      <c r="H14" s="1">
        <v>55000</v>
      </c>
      <c r="I14" s="3">
        <v>45000</v>
      </c>
      <c r="J14" s="1">
        <v>15</v>
      </c>
      <c r="K14" s="1">
        <v>93500</v>
      </c>
      <c r="L14" s="1">
        <v>90000</v>
      </c>
      <c r="M14" s="5">
        <v>3500</v>
      </c>
    </row>
    <row r="15" spans="1:13" x14ac:dyDescent="0.3">
      <c r="A15" s="4">
        <v>114</v>
      </c>
      <c r="B15" s="2">
        <v>45751</v>
      </c>
      <c r="C15" s="1" t="s">
        <v>51</v>
      </c>
      <c r="D15" s="1" t="s">
        <v>30</v>
      </c>
      <c r="E15" s="1" t="s">
        <v>19</v>
      </c>
      <c r="F15" s="1" t="s">
        <v>16</v>
      </c>
      <c r="G15" s="1">
        <v>2</v>
      </c>
      <c r="H15" s="1">
        <v>25000</v>
      </c>
      <c r="I15" s="3">
        <v>20000</v>
      </c>
      <c r="J15" s="1">
        <v>20</v>
      </c>
      <c r="K15" s="1">
        <v>40000</v>
      </c>
      <c r="L15" s="1">
        <v>40000</v>
      </c>
      <c r="M15" s="5">
        <v>0</v>
      </c>
    </row>
    <row r="16" spans="1:13" x14ac:dyDescent="0.3">
      <c r="A16" s="4">
        <v>115</v>
      </c>
      <c r="B16" s="2">
        <v>45752</v>
      </c>
      <c r="C16" s="1" t="s">
        <v>52</v>
      </c>
      <c r="D16" s="1" t="s">
        <v>34</v>
      </c>
      <c r="E16" s="1" t="s">
        <v>22</v>
      </c>
      <c r="F16" s="1" t="s">
        <v>16</v>
      </c>
      <c r="G16" s="1">
        <v>2</v>
      </c>
      <c r="H16" s="1">
        <v>2500</v>
      </c>
      <c r="I16" s="3">
        <v>1800</v>
      </c>
      <c r="J16" s="1">
        <v>25</v>
      </c>
      <c r="K16" s="1">
        <v>3750</v>
      </c>
      <c r="L16" s="1">
        <v>3600</v>
      </c>
      <c r="M16" s="5">
        <v>150</v>
      </c>
    </row>
    <row r="17" spans="1:13" x14ac:dyDescent="0.3">
      <c r="A17" s="4">
        <v>116</v>
      </c>
      <c r="B17" s="2">
        <v>45753</v>
      </c>
      <c r="C17" s="1" t="s">
        <v>53</v>
      </c>
      <c r="D17" s="1" t="s">
        <v>37</v>
      </c>
      <c r="E17" s="1" t="s">
        <v>25</v>
      </c>
      <c r="F17" s="1" t="s">
        <v>16</v>
      </c>
      <c r="G17" s="1">
        <v>2</v>
      </c>
      <c r="H17" s="1">
        <v>1500</v>
      </c>
      <c r="I17" s="3">
        <v>1100</v>
      </c>
      <c r="J17" s="1">
        <v>5</v>
      </c>
      <c r="K17" s="1">
        <v>2850</v>
      </c>
      <c r="L17" s="1">
        <v>2200</v>
      </c>
      <c r="M17" s="5">
        <v>650</v>
      </c>
    </row>
    <row r="18" spans="1:13" x14ac:dyDescent="0.3">
      <c r="A18" s="4">
        <v>117</v>
      </c>
      <c r="B18" s="2">
        <v>45754</v>
      </c>
      <c r="C18" s="1" t="s">
        <v>54</v>
      </c>
      <c r="D18" s="1" t="s">
        <v>14</v>
      </c>
      <c r="E18" s="1" t="s">
        <v>28</v>
      </c>
      <c r="F18" s="1" t="s">
        <v>16</v>
      </c>
      <c r="G18" s="1">
        <v>2</v>
      </c>
      <c r="H18" s="1">
        <v>800</v>
      </c>
      <c r="I18" s="1">
        <v>550</v>
      </c>
      <c r="J18" s="1">
        <v>10</v>
      </c>
      <c r="K18" s="1">
        <v>1440</v>
      </c>
      <c r="L18" s="1">
        <v>1100</v>
      </c>
      <c r="M18" s="5">
        <v>340</v>
      </c>
    </row>
    <row r="19" spans="1:13" x14ac:dyDescent="0.3">
      <c r="A19" s="4">
        <v>118</v>
      </c>
      <c r="B19" s="2">
        <v>45755</v>
      </c>
      <c r="C19" s="1" t="s">
        <v>55</v>
      </c>
      <c r="D19" s="1" t="s">
        <v>18</v>
      </c>
      <c r="E19" s="1" t="s">
        <v>31</v>
      </c>
      <c r="F19" s="1" t="s">
        <v>32</v>
      </c>
      <c r="G19" s="1">
        <v>2</v>
      </c>
      <c r="H19" s="1">
        <v>12000</v>
      </c>
      <c r="I19" s="3">
        <v>9500</v>
      </c>
      <c r="J19" s="1">
        <v>15</v>
      </c>
      <c r="K19" s="1">
        <v>20400</v>
      </c>
      <c r="L19" s="1">
        <v>19000</v>
      </c>
      <c r="M19" s="5">
        <v>1400</v>
      </c>
    </row>
    <row r="20" spans="1:13" x14ac:dyDescent="0.3">
      <c r="A20" s="4">
        <v>119</v>
      </c>
      <c r="B20" s="2">
        <v>45756</v>
      </c>
      <c r="C20" s="1" t="s">
        <v>56</v>
      </c>
      <c r="D20" s="1" t="s">
        <v>21</v>
      </c>
      <c r="E20" s="1" t="s">
        <v>35</v>
      </c>
      <c r="F20" s="1" t="s">
        <v>16</v>
      </c>
      <c r="G20" s="1">
        <v>2</v>
      </c>
      <c r="H20" s="1">
        <v>18000</v>
      </c>
      <c r="I20" s="3">
        <v>14500</v>
      </c>
      <c r="J20" s="1">
        <v>20</v>
      </c>
      <c r="K20" s="1">
        <v>28800</v>
      </c>
      <c r="L20" s="1">
        <v>29000</v>
      </c>
      <c r="M20" s="5">
        <v>-200</v>
      </c>
    </row>
    <row r="21" spans="1:13" x14ac:dyDescent="0.3">
      <c r="A21" s="4">
        <v>120</v>
      </c>
      <c r="B21" s="2">
        <v>45757</v>
      </c>
      <c r="C21" s="1" t="s">
        <v>57</v>
      </c>
      <c r="D21" s="1" t="s">
        <v>24</v>
      </c>
      <c r="E21" s="1" t="s">
        <v>38</v>
      </c>
      <c r="F21" s="1" t="s">
        <v>39</v>
      </c>
      <c r="G21" s="1">
        <v>2</v>
      </c>
      <c r="H21" s="1">
        <v>6000</v>
      </c>
      <c r="I21" s="3">
        <v>4500</v>
      </c>
      <c r="J21" s="1">
        <v>25</v>
      </c>
      <c r="K21" s="1">
        <v>9000</v>
      </c>
      <c r="L21" s="1">
        <v>9000</v>
      </c>
      <c r="M21" s="5">
        <v>0</v>
      </c>
    </row>
    <row r="22" spans="1:13" x14ac:dyDescent="0.3">
      <c r="A22" s="4">
        <v>121</v>
      </c>
      <c r="B22" s="2">
        <v>45758</v>
      </c>
      <c r="C22" s="1" t="s">
        <v>58</v>
      </c>
      <c r="D22" s="1" t="s">
        <v>27</v>
      </c>
      <c r="E22" s="1" t="s">
        <v>41</v>
      </c>
      <c r="F22" s="1" t="s">
        <v>39</v>
      </c>
      <c r="G22" s="1">
        <v>2</v>
      </c>
      <c r="H22" s="1">
        <v>12000</v>
      </c>
      <c r="I22" s="3">
        <v>9000</v>
      </c>
      <c r="J22" s="1">
        <v>5</v>
      </c>
      <c r="K22" s="1">
        <v>22800</v>
      </c>
      <c r="L22" s="1">
        <v>18000</v>
      </c>
      <c r="M22" s="5">
        <v>4800</v>
      </c>
    </row>
    <row r="23" spans="1:13" x14ac:dyDescent="0.3">
      <c r="A23" s="4">
        <v>122</v>
      </c>
      <c r="B23" s="2">
        <v>45759</v>
      </c>
      <c r="C23" s="1" t="s">
        <v>59</v>
      </c>
      <c r="D23" s="1" t="s">
        <v>30</v>
      </c>
      <c r="E23" s="1" t="s">
        <v>43</v>
      </c>
      <c r="F23" s="1" t="s">
        <v>44</v>
      </c>
      <c r="G23" s="1">
        <v>2</v>
      </c>
      <c r="H23" s="1">
        <v>120</v>
      </c>
      <c r="I23" s="1">
        <v>80</v>
      </c>
      <c r="J23" s="1">
        <v>10</v>
      </c>
      <c r="K23" s="1">
        <v>216</v>
      </c>
      <c r="L23" s="1">
        <v>160</v>
      </c>
      <c r="M23" s="5">
        <v>56</v>
      </c>
    </row>
    <row r="24" spans="1:13" x14ac:dyDescent="0.3">
      <c r="A24" s="4">
        <v>123</v>
      </c>
      <c r="B24" s="2">
        <v>45760</v>
      </c>
      <c r="C24" s="1" t="s">
        <v>60</v>
      </c>
      <c r="D24" s="1" t="s">
        <v>34</v>
      </c>
      <c r="E24" s="1" t="s">
        <v>46</v>
      </c>
      <c r="F24" s="1" t="s">
        <v>44</v>
      </c>
      <c r="G24" s="1">
        <v>3</v>
      </c>
      <c r="H24" s="1">
        <v>25</v>
      </c>
      <c r="I24" s="1">
        <v>15</v>
      </c>
      <c r="J24" s="1">
        <v>15</v>
      </c>
      <c r="K24" s="1">
        <v>63.75</v>
      </c>
      <c r="L24" s="1">
        <v>45</v>
      </c>
      <c r="M24" s="5">
        <v>18.75</v>
      </c>
    </row>
    <row r="25" spans="1:13" x14ac:dyDescent="0.3">
      <c r="A25" s="4">
        <v>124</v>
      </c>
      <c r="B25" s="2">
        <v>45761</v>
      </c>
      <c r="C25" s="1" t="s">
        <v>61</v>
      </c>
      <c r="D25" s="1" t="s">
        <v>37</v>
      </c>
      <c r="E25" s="1" t="s">
        <v>48</v>
      </c>
      <c r="F25" s="1" t="s">
        <v>49</v>
      </c>
      <c r="G25" s="1">
        <v>3</v>
      </c>
      <c r="H25" s="1">
        <v>1800</v>
      </c>
      <c r="I25" s="3">
        <v>1300</v>
      </c>
      <c r="J25" s="1">
        <v>20</v>
      </c>
      <c r="K25" s="1">
        <v>4320</v>
      </c>
      <c r="L25" s="1">
        <v>3900</v>
      </c>
      <c r="M25" s="5">
        <v>420</v>
      </c>
    </row>
    <row r="26" spans="1:13" x14ac:dyDescent="0.3">
      <c r="A26" s="4">
        <v>125</v>
      </c>
      <c r="B26" s="2">
        <v>45762</v>
      </c>
      <c r="C26" s="1" t="s">
        <v>62</v>
      </c>
      <c r="D26" s="1" t="s">
        <v>14</v>
      </c>
      <c r="E26" s="1" t="s">
        <v>15</v>
      </c>
      <c r="F26" s="1" t="s">
        <v>16</v>
      </c>
      <c r="G26" s="1">
        <v>3</v>
      </c>
      <c r="H26" s="1">
        <v>55000</v>
      </c>
      <c r="I26" s="3">
        <v>45000</v>
      </c>
      <c r="J26" s="1">
        <v>25</v>
      </c>
      <c r="K26" s="1">
        <v>123750</v>
      </c>
      <c r="L26" s="1">
        <v>135000</v>
      </c>
      <c r="M26" s="5">
        <v>-11250</v>
      </c>
    </row>
    <row r="27" spans="1:13" x14ac:dyDescent="0.3">
      <c r="A27" s="4">
        <v>126</v>
      </c>
      <c r="B27" s="2">
        <v>45763</v>
      </c>
      <c r="C27" s="1" t="s">
        <v>63</v>
      </c>
      <c r="D27" s="1" t="s">
        <v>18</v>
      </c>
      <c r="E27" s="1" t="s">
        <v>19</v>
      </c>
      <c r="F27" s="1" t="s">
        <v>16</v>
      </c>
      <c r="G27" s="1">
        <v>3</v>
      </c>
      <c r="H27" s="1">
        <v>25000</v>
      </c>
      <c r="I27" s="3">
        <v>20000</v>
      </c>
      <c r="J27" s="1">
        <v>5</v>
      </c>
      <c r="K27" s="1">
        <v>71250</v>
      </c>
      <c r="L27" s="1">
        <v>60000</v>
      </c>
      <c r="M27" s="5">
        <v>11250</v>
      </c>
    </row>
    <row r="28" spans="1:13" x14ac:dyDescent="0.3">
      <c r="A28" s="4">
        <v>127</v>
      </c>
      <c r="B28" s="2">
        <v>45764</v>
      </c>
      <c r="C28" s="1" t="s">
        <v>64</v>
      </c>
      <c r="D28" s="1" t="s">
        <v>21</v>
      </c>
      <c r="E28" s="1" t="s">
        <v>22</v>
      </c>
      <c r="F28" s="1" t="s">
        <v>16</v>
      </c>
      <c r="G28" s="1">
        <v>3</v>
      </c>
      <c r="H28" s="1">
        <v>2500</v>
      </c>
      <c r="I28" s="3">
        <v>1800</v>
      </c>
      <c r="J28" s="1">
        <v>10</v>
      </c>
      <c r="K28" s="1">
        <v>6750</v>
      </c>
      <c r="L28" s="1">
        <v>5400</v>
      </c>
      <c r="M28" s="5">
        <v>1350</v>
      </c>
    </row>
    <row r="29" spans="1:13" x14ac:dyDescent="0.3">
      <c r="A29" s="4">
        <v>128</v>
      </c>
      <c r="B29" s="2">
        <v>45765</v>
      </c>
      <c r="C29" s="1" t="s">
        <v>65</v>
      </c>
      <c r="D29" s="1" t="s">
        <v>24</v>
      </c>
      <c r="E29" s="1" t="s">
        <v>25</v>
      </c>
      <c r="F29" s="1" t="s">
        <v>16</v>
      </c>
      <c r="G29" s="1">
        <v>3</v>
      </c>
      <c r="H29" s="1">
        <v>1500</v>
      </c>
      <c r="I29" s="3">
        <v>1100</v>
      </c>
      <c r="J29" s="1">
        <v>15</v>
      </c>
      <c r="K29" s="1">
        <v>3825</v>
      </c>
      <c r="L29" s="1">
        <v>3300</v>
      </c>
      <c r="M29" s="5">
        <v>525</v>
      </c>
    </row>
    <row r="30" spans="1:13" x14ac:dyDescent="0.3">
      <c r="A30" s="4">
        <v>129</v>
      </c>
      <c r="B30" s="2">
        <v>45766</v>
      </c>
      <c r="C30" s="1" t="s">
        <v>66</v>
      </c>
      <c r="D30" s="1" t="s">
        <v>27</v>
      </c>
      <c r="E30" s="1" t="s">
        <v>28</v>
      </c>
      <c r="F30" s="1" t="s">
        <v>16</v>
      </c>
      <c r="G30" s="1">
        <v>3</v>
      </c>
      <c r="H30" s="1">
        <v>800</v>
      </c>
      <c r="I30" s="1">
        <v>550</v>
      </c>
      <c r="J30" s="1">
        <v>20</v>
      </c>
      <c r="K30" s="1">
        <v>1920</v>
      </c>
      <c r="L30" s="1">
        <v>1650</v>
      </c>
      <c r="M30" s="5">
        <v>270</v>
      </c>
    </row>
    <row r="31" spans="1:13" x14ac:dyDescent="0.3">
      <c r="A31" s="4">
        <v>130</v>
      </c>
      <c r="B31" s="2">
        <v>45767</v>
      </c>
      <c r="C31" s="1" t="s">
        <v>67</v>
      </c>
      <c r="D31" s="1" t="s">
        <v>30</v>
      </c>
      <c r="E31" s="1" t="s">
        <v>31</v>
      </c>
      <c r="F31" s="1" t="s">
        <v>32</v>
      </c>
      <c r="G31" s="1">
        <v>3</v>
      </c>
      <c r="H31" s="1">
        <v>12000</v>
      </c>
      <c r="I31" s="3">
        <v>9500</v>
      </c>
      <c r="J31" s="1">
        <v>25</v>
      </c>
      <c r="K31" s="1">
        <v>27000</v>
      </c>
      <c r="L31" s="1">
        <v>28500</v>
      </c>
      <c r="M31" s="5">
        <v>-1500</v>
      </c>
    </row>
    <row r="32" spans="1:13" x14ac:dyDescent="0.3">
      <c r="A32" s="4">
        <v>131</v>
      </c>
      <c r="B32" s="2">
        <v>45768</v>
      </c>
      <c r="C32" s="1" t="s">
        <v>68</v>
      </c>
      <c r="D32" s="1" t="s">
        <v>34</v>
      </c>
      <c r="E32" s="1" t="s">
        <v>35</v>
      </c>
      <c r="F32" s="1" t="s">
        <v>16</v>
      </c>
      <c r="G32" s="1">
        <v>3</v>
      </c>
      <c r="H32" s="1">
        <v>18000</v>
      </c>
      <c r="I32" s="3">
        <v>14500</v>
      </c>
      <c r="J32" s="1">
        <v>5</v>
      </c>
      <c r="K32" s="1">
        <v>51300</v>
      </c>
      <c r="L32" s="1">
        <v>43500</v>
      </c>
      <c r="M32" s="5">
        <v>7800</v>
      </c>
    </row>
    <row r="33" spans="1:13" x14ac:dyDescent="0.3">
      <c r="A33" s="4">
        <v>132</v>
      </c>
      <c r="B33" s="2">
        <v>45769</v>
      </c>
      <c r="C33" s="1" t="s">
        <v>69</v>
      </c>
      <c r="D33" s="1" t="s">
        <v>37</v>
      </c>
      <c r="E33" s="1" t="s">
        <v>38</v>
      </c>
      <c r="F33" s="1" t="s">
        <v>39</v>
      </c>
      <c r="G33" s="1">
        <v>3</v>
      </c>
      <c r="H33" s="1">
        <v>6000</v>
      </c>
      <c r="I33" s="3">
        <v>4500</v>
      </c>
      <c r="J33" s="1">
        <v>10</v>
      </c>
      <c r="K33" s="1">
        <v>16200</v>
      </c>
      <c r="L33" s="1">
        <v>13500</v>
      </c>
      <c r="M33" s="5">
        <v>2700</v>
      </c>
    </row>
    <row r="34" spans="1:13" x14ac:dyDescent="0.3">
      <c r="A34" s="4">
        <v>133</v>
      </c>
      <c r="B34" s="2">
        <v>45770</v>
      </c>
      <c r="C34" s="1" t="s">
        <v>70</v>
      </c>
      <c r="D34" s="1" t="s">
        <v>14</v>
      </c>
      <c r="E34" s="1" t="s">
        <v>41</v>
      </c>
      <c r="F34" s="1" t="s">
        <v>39</v>
      </c>
      <c r="G34" s="1">
        <v>3</v>
      </c>
      <c r="H34" s="1">
        <v>12000</v>
      </c>
      <c r="I34" s="3">
        <v>9000</v>
      </c>
      <c r="J34" s="1">
        <v>15</v>
      </c>
      <c r="K34" s="1">
        <v>30600</v>
      </c>
      <c r="L34" s="1">
        <v>27000</v>
      </c>
      <c r="M34" s="5">
        <v>3600</v>
      </c>
    </row>
    <row r="35" spans="1:13" x14ac:dyDescent="0.3">
      <c r="A35" s="4">
        <v>134</v>
      </c>
      <c r="B35" s="2">
        <v>45771</v>
      </c>
      <c r="C35" s="1" t="s">
        <v>71</v>
      </c>
      <c r="D35" s="1" t="s">
        <v>18</v>
      </c>
      <c r="E35" s="1" t="s">
        <v>43</v>
      </c>
      <c r="F35" s="1" t="s">
        <v>44</v>
      </c>
      <c r="G35" s="1">
        <v>3</v>
      </c>
      <c r="H35" s="1">
        <v>120</v>
      </c>
      <c r="I35" s="1">
        <v>80</v>
      </c>
      <c r="J35" s="1">
        <v>20</v>
      </c>
      <c r="K35" s="1">
        <v>288</v>
      </c>
      <c r="L35" s="1">
        <v>240</v>
      </c>
      <c r="M35" s="5">
        <v>48</v>
      </c>
    </row>
    <row r="36" spans="1:13" x14ac:dyDescent="0.3">
      <c r="A36" s="4">
        <v>135</v>
      </c>
      <c r="B36" s="2">
        <v>45772</v>
      </c>
      <c r="C36" s="1" t="s">
        <v>72</v>
      </c>
      <c r="D36" s="1" t="s">
        <v>21</v>
      </c>
      <c r="E36" s="1" t="s">
        <v>46</v>
      </c>
      <c r="F36" s="1" t="s">
        <v>44</v>
      </c>
      <c r="G36" s="1">
        <v>3</v>
      </c>
      <c r="H36" s="1">
        <v>25</v>
      </c>
      <c r="I36" s="1">
        <v>15</v>
      </c>
      <c r="J36" s="1">
        <v>25</v>
      </c>
      <c r="K36" s="1">
        <v>56.25</v>
      </c>
      <c r="L36" s="1">
        <v>45</v>
      </c>
      <c r="M36" s="5">
        <v>11.25</v>
      </c>
    </row>
    <row r="37" spans="1:13" x14ac:dyDescent="0.3">
      <c r="A37" s="4">
        <v>136</v>
      </c>
      <c r="B37" s="2">
        <v>45773</v>
      </c>
      <c r="C37" s="1" t="s">
        <v>73</v>
      </c>
      <c r="D37" s="1" t="s">
        <v>24</v>
      </c>
      <c r="E37" s="1" t="s">
        <v>48</v>
      </c>
      <c r="F37" s="1" t="s">
        <v>49</v>
      </c>
      <c r="G37" s="1">
        <v>3</v>
      </c>
      <c r="H37" s="1">
        <v>1800</v>
      </c>
      <c r="I37" s="3">
        <v>1300</v>
      </c>
      <c r="J37" s="1">
        <v>5</v>
      </c>
      <c r="K37" s="1">
        <v>5130</v>
      </c>
      <c r="L37" s="1">
        <v>3900</v>
      </c>
      <c r="M37" s="5">
        <v>1230</v>
      </c>
    </row>
    <row r="38" spans="1:13" x14ac:dyDescent="0.3">
      <c r="A38" s="4">
        <v>137</v>
      </c>
      <c r="B38" s="2">
        <v>45774</v>
      </c>
      <c r="C38" s="1" t="s">
        <v>74</v>
      </c>
      <c r="D38" s="1" t="s">
        <v>27</v>
      </c>
      <c r="E38" s="1" t="s">
        <v>15</v>
      </c>
      <c r="F38" s="1" t="s">
        <v>16</v>
      </c>
      <c r="G38" s="1">
        <v>3</v>
      </c>
      <c r="H38" s="1">
        <v>55000</v>
      </c>
      <c r="I38" s="3">
        <v>45000</v>
      </c>
      <c r="J38" s="1">
        <v>10</v>
      </c>
      <c r="K38" s="1">
        <v>148500</v>
      </c>
      <c r="L38" s="1">
        <v>135000</v>
      </c>
      <c r="M38" s="5">
        <v>13500</v>
      </c>
    </row>
    <row r="39" spans="1:13" x14ac:dyDescent="0.3">
      <c r="A39" s="4">
        <v>138</v>
      </c>
      <c r="B39" s="2">
        <v>45775</v>
      </c>
      <c r="C39" s="1" t="s">
        <v>75</v>
      </c>
      <c r="D39" s="1" t="s">
        <v>30</v>
      </c>
      <c r="E39" s="1" t="s">
        <v>19</v>
      </c>
      <c r="F39" s="1" t="s">
        <v>16</v>
      </c>
      <c r="G39" s="1">
        <v>3</v>
      </c>
      <c r="H39" s="1">
        <v>25000</v>
      </c>
      <c r="I39" s="3">
        <v>20000</v>
      </c>
      <c r="J39" s="1">
        <v>15</v>
      </c>
      <c r="K39" s="1">
        <v>63750</v>
      </c>
      <c r="L39" s="1">
        <v>60000</v>
      </c>
      <c r="M39" s="5">
        <v>3750</v>
      </c>
    </row>
    <row r="40" spans="1:13" x14ac:dyDescent="0.3">
      <c r="A40" s="4">
        <v>139</v>
      </c>
      <c r="B40" s="2">
        <v>45776</v>
      </c>
      <c r="C40" s="1" t="s">
        <v>76</v>
      </c>
      <c r="D40" s="1" t="s">
        <v>34</v>
      </c>
      <c r="E40" s="1" t="s">
        <v>22</v>
      </c>
      <c r="F40" s="1" t="s">
        <v>16</v>
      </c>
      <c r="G40" s="1">
        <v>3</v>
      </c>
      <c r="H40" s="1">
        <v>2500</v>
      </c>
      <c r="I40" s="3">
        <v>1800</v>
      </c>
      <c r="J40" s="1">
        <v>20</v>
      </c>
      <c r="K40" s="1">
        <v>6000</v>
      </c>
      <c r="L40" s="1">
        <v>5400</v>
      </c>
      <c r="M40" s="5">
        <v>600</v>
      </c>
    </row>
    <row r="41" spans="1:13" x14ac:dyDescent="0.3">
      <c r="A41" s="4">
        <v>140</v>
      </c>
      <c r="B41" s="2">
        <v>45777</v>
      </c>
      <c r="C41" s="1" t="s">
        <v>77</v>
      </c>
      <c r="D41" s="1" t="s">
        <v>37</v>
      </c>
      <c r="E41" s="1" t="s">
        <v>25</v>
      </c>
      <c r="F41" s="1" t="s">
        <v>16</v>
      </c>
      <c r="G41" s="1">
        <v>3</v>
      </c>
      <c r="H41" s="1">
        <v>1500</v>
      </c>
      <c r="I41" s="3">
        <v>1100</v>
      </c>
      <c r="J41" s="1">
        <v>25</v>
      </c>
      <c r="K41" s="1">
        <v>3375</v>
      </c>
      <c r="L41" s="1">
        <v>3300</v>
      </c>
      <c r="M41" s="5">
        <v>75</v>
      </c>
    </row>
    <row r="42" spans="1:13" x14ac:dyDescent="0.3">
      <c r="A42" s="4">
        <v>141</v>
      </c>
      <c r="B42" s="2">
        <v>45778</v>
      </c>
      <c r="C42" s="1" t="s">
        <v>78</v>
      </c>
      <c r="D42" s="1" t="s">
        <v>14</v>
      </c>
      <c r="E42" s="1" t="s">
        <v>28</v>
      </c>
      <c r="F42" s="1" t="s">
        <v>16</v>
      </c>
      <c r="G42" s="1">
        <v>3</v>
      </c>
      <c r="H42" s="1">
        <v>800</v>
      </c>
      <c r="I42" s="1">
        <v>550</v>
      </c>
      <c r="J42" s="1">
        <v>5</v>
      </c>
      <c r="K42" s="1">
        <v>2280</v>
      </c>
      <c r="L42" s="1">
        <v>1650</v>
      </c>
      <c r="M42" s="5">
        <v>630</v>
      </c>
    </row>
    <row r="43" spans="1:13" x14ac:dyDescent="0.3">
      <c r="A43" s="4">
        <v>142</v>
      </c>
      <c r="B43" s="2">
        <v>45779</v>
      </c>
      <c r="C43" s="1" t="s">
        <v>79</v>
      </c>
      <c r="D43" s="1" t="s">
        <v>18</v>
      </c>
      <c r="E43" s="1" t="s">
        <v>31</v>
      </c>
      <c r="F43" s="1" t="s">
        <v>32</v>
      </c>
      <c r="G43" s="1">
        <v>3</v>
      </c>
      <c r="H43" s="1">
        <v>12000</v>
      </c>
      <c r="I43" s="3">
        <v>9500</v>
      </c>
      <c r="J43" s="1">
        <v>10</v>
      </c>
      <c r="K43" s="1">
        <v>32400</v>
      </c>
      <c r="L43" s="1">
        <v>28500</v>
      </c>
      <c r="M43" s="5">
        <v>3900</v>
      </c>
    </row>
    <row r="44" spans="1:13" x14ac:dyDescent="0.3">
      <c r="A44" s="4">
        <v>143</v>
      </c>
      <c r="B44" s="2">
        <v>45780</v>
      </c>
      <c r="C44" s="1" t="s">
        <v>80</v>
      </c>
      <c r="D44" s="1" t="s">
        <v>21</v>
      </c>
      <c r="E44" s="1" t="s">
        <v>35</v>
      </c>
      <c r="F44" s="1" t="s">
        <v>16</v>
      </c>
      <c r="G44" s="1">
        <v>3</v>
      </c>
      <c r="H44" s="1">
        <v>18000</v>
      </c>
      <c r="I44" s="3">
        <v>14500</v>
      </c>
      <c r="J44" s="1">
        <v>15</v>
      </c>
      <c r="K44" s="1">
        <v>45900</v>
      </c>
      <c r="L44" s="1">
        <v>43500</v>
      </c>
      <c r="M44" s="5">
        <v>2400</v>
      </c>
    </row>
    <row r="45" spans="1:13" x14ac:dyDescent="0.3">
      <c r="A45" s="4">
        <v>144</v>
      </c>
      <c r="B45" s="2">
        <v>45781</v>
      </c>
      <c r="C45" s="1" t="s">
        <v>81</v>
      </c>
      <c r="D45" s="1" t="s">
        <v>24</v>
      </c>
      <c r="E45" s="1" t="s">
        <v>38</v>
      </c>
      <c r="F45" s="1" t="s">
        <v>39</v>
      </c>
      <c r="G45" s="1">
        <v>3</v>
      </c>
      <c r="H45" s="1">
        <v>6000</v>
      </c>
      <c r="I45" s="3">
        <v>4500</v>
      </c>
      <c r="J45" s="1">
        <v>20</v>
      </c>
      <c r="K45" s="1">
        <v>14400</v>
      </c>
      <c r="L45" s="1">
        <v>13500</v>
      </c>
      <c r="M45" s="5">
        <v>900</v>
      </c>
    </row>
    <row r="46" spans="1:13" x14ac:dyDescent="0.3">
      <c r="A46" s="4">
        <v>145</v>
      </c>
      <c r="B46" s="2">
        <v>45782</v>
      </c>
      <c r="C46" s="1" t="s">
        <v>82</v>
      </c>
      <c r="D46" s="1" t="s">
        <v>27</v>
      </c>
      <c r="E46" s="1" t="s">
        <v>41</v>
      </c>
      <c r="F46" s="1" t="s">
        <v>39</v>
      </c>
      <c r="G46" s="1">
        <v>3</v>
      </c>
      <c r="H46" s="1">
        <v>12000</v>
      </c>
      <c r="I46" s="3">
        <v>9000</v>
      </c>
      <c r="J46" s="1">
        <v>25</v>
      </c>
      <c r="K46" s="1">
        <v>27000</v>
      </c>
      <c r="L46" s="1">
        <v>27000</v>
      </c>
      <c r="M46" s="5">
        <v>0</v>
      </c>
    </row>
    <row r="47" spans="1:13" x14ac:dyDescent="0.3">
      <c r="A47" s="4">
        <v>146</v>
      </c>
      <c r="B47" s="2">
        <v>45783</v>
      </c>
      <c r="C47" s="1" t="s">
        <v>83</v>
      </c>
      <c r="D47" s="1" t="s">
        <v>30</v>
      </c>
      <c r="E47" s="1" t="s">
        <v>43</v>
      </c>
      <c r="F47" s="1" t="s">
        <v>44</v>
      </c>
      <c r="G47" s="1">
        <v>3</v>
      </c>
      <c r="H47" s="1">
        <v>120</v>
      </c>
      <c r="I47" s="1">
        <v>80</v>
      </c>
      <c r="J47" s="1">
        <v>5</v>
      </c>
      <c r="K47" s="1">
        <v>342</v>
      </c>
      <c r="L47" s="1">
        <v>240</v>
      </c>
      <c r="M47" s="5">
        <v>102</v>
      </c>
    </row>
    <row r="48" spans="1:13" x14ac:dyDescent="0.3">
      <c r="A48" s="4">
        <v>147</v>
      </c>
      <c r="B48" s="2">
        <v>45784</v>
      </c>
      <c r="C48" s="1" t="s">
        <v>84</v>
      </c>
      <c r="D48" s="1" t="s">
        <v>34</v>
      </c>
      <c r="E48" s="1" t="s">
        <v>46</v>
      </c>
      <c r="F48" s="1" t="s">
        <v>44</v>
      </c>
      <c r="G48" s="1">
        <v>3</v>
      </c>
      <c r="H48" s="1">
        <v>25</v>
      </c>
      <c r="I48" s="1">
        <v>15</v>
      </c>
      <c r="J48" s="1">
        <v>10</v>
      </c>
      <c r="K48" s="1">
        <v>67.5</v>
      </c>
      <c r="L48" s="1">
        <v>45</v>
      </c>
      <c r="M48" s="5">
        <v>22.5</v>
      </c>
    </row>
    <row r="49" spans="1:13" x14ac:dyDescent="0.3">
      <c r="A49" s="4">
        <v>148</v>
      </c>
      <c r="B49" s="2">
        <v>45785</v>
      </c>
      <c r="C49" s="1" t="s">
        <v>85</v>
      </c>
      <c r="D49" s="1" t="s">
        <v>37</v>
      </c>
      <c r="E49" s="1" t="s">
        <v>48</v>
      </c>
      <c r="F49" s="1" t="s">
        <v>49</v>
      </c>
      <c r="G49" s="1">
        <v>3</v>
      </c>
      <c r="H49" s="1">
        <v>1800</v>
      </c>
      <c r="I49" s="3">
        <v>1300</v>
      </c>
      <c r="J49" s="1">
        <v>15</v>
      </c>
      <c r="K49" s="1">
        <v>4590</v>
      </c>
      <c r="L49" s="1">
        <v>3900</v>
      </c>
      <c r="M49" s="5">
        <v>690</v>
      </c>
    </row>
    <row r="50" spans="1:13" x14ac:dyDescent="0.3">
      <c r="A50" s="4">
        <v>149</v>
      </c>
      <c r="B50" s="2">
        <v>45786</v>
      </c>
      <c r="C50" s="1" t="s">
        <v>86</v>
      </c>
      <c r="D50" s="1" t="s">
        <v>14</v>
      </c>
      <c r="E50" s="1" t="s">
        <v>15</v>
      </c>
      <c r="F50" s="1" t="s">
        <v>16</v>
      </c>
      <c r="G50" s="1">
        <v>3</v>
      </c>
      <c r="H50" s="1">
        <v>55000</v>
      </c>
      <c r="I50" s="3">
        <v>45000</v>
      </c>
      <c r="J50" s="1">
        <v>20</v>
      </c>
      <c r="K50" s="1">
        <v>132000</v>
      </c>
      <c r="L50" s="1">
        <v>135000</v>
      </c>
      <c r="M50" s="5">
        <v>-3000</v>
      </c>
    </row>
    <row r="51" spans="1:13" x14ac:dyDescent="0.3">
      <c r="A51" s="4">
        <v>150</v>
      </c>
      <c r="B51" s="2">
        <v>45787</v>
      </c>
      <c r="C51" s="1" t="s">
        <v>87</v>
      </c>
      <c r="D51" s="1" t="s">
        <v>18</v>
      </c>
      <c r="E51" s="1" t="s">
        <v>19</v>
      </c>
      <c r="F51" s="1" t="s">
        <v>16</v>
      </c>
      <c r="G51" s="1">
        <v>3</v>
      </c>
      <c r="H51" s="1">
        <v>25000</v>
      </c>
      <c r="I51" s="3">
        <v>20000</v>
      </c>
      <c r="J51" s="1">
        <v>25</v>
      </c>
      <c r="K51" s="1">
        <v>56250</v>
      </c>
      <c r="L51" s="1">
        <v>60000</v>
      </c>
      <c r="M51" s="5">
        <v>-3750</v>
      </c>
    </row>
    <row r="52" spans="1:13" x14ac:dyDescent="0.3">
      <c r="A52" s="4">
        <v>151</v>
      </c>
      <c r="B52" s="2">
        <v>45788</v>
      </c>
      <c r="C52" s="1" t="s">
        <v>88</v>
      </c>
      <c r="D52" s="1" t="s">
        <v>21</v>
      </c>
      <c r="E52" s="1" t="s">
        <v>22</v>
      </c>
      <c r="F52" s="1" t="s">
        <v>16</v>
      </c>
      <c r="G52" s="1">
        <v>3</v>
      </c>
      <c r="H52" s="1">
        <v>2500</v>
      </c>
      <c r="I52" s="3">
        <v>1800</v>
      </c>
      <c r="J52" s="1">
        <v>5</v>
      </c>
      <c r="K52" s="1">
        <v>7125</v>
      </c>
      <c r="L52" s="1">
        <v>5400</v>
      </c>
      <c r="M52" s="5">
        <v>1725</v>
      </c>
    </row>
    <row r="53" spans="1:13" x14ac:dyDescent="0.3">
      <c r="A53" s="4">
        <v>152</v>
      </c>
      <c r="B53" s="2">
        <v>45789</v>
      </c>
      <c r="C53" s="1" t="s">
        <v>89</v>
      </c>
      <c r="D53" s="1" t="s">
        <v>24</v>
      </c>
      <c r="E53" s="1" t="s">
        <v>25</v>
      </c>
      <c r="F53" s="1" t="s">
        <v>16</v>
      </c>
      <c r="G53" s="1">
        <v>3</v>
      </c>
      <c r="H53" s="1">
        <v>1500</v>
      </c>
      <c r="I53" s="3">
        <v>1100</v>
      </c>
      <c r="J53" s="1">
        <v>10</v>
      </c>
      <c r="K53" s="1">
        <v>4050</v>
      </c>
      <c r="L53" s="1">
        <v>3300</v>
      </c>
      <c r="M53" s="5">
        <v>750</v>
      </c>
    </row>
    <row r="54" spans="1:13" x14ac:dyDescent="0.3">
      <c r="A54" s="4">
        <v>153</v>
      </c>
      <c r="B54" s="2">
        <v>45790</v>
      </c>
      <c r="C54" s="1" t="s">
        <v>90</v>
      </c>
      <c r="D54" s="1" t="s">
        <v>27</v>
      </c>
      <c r="E54" s="1" t="s">
        <v>28</v>
      </c>
      <c r="F54" s="1" t="s">
        <v>16</v>
      </c>
      <c r="G54" s="1">
        <v>3</v>
      </c>
      <c r="H54" s="1">
        <v>800</v>
      </c>
      <c r="I54" s="1">
        <v>550</v>
      </c>
      <c r="J54" s="1">
        <v>15</v>
      </c>
      <c r="K54" s="1">
        <v>2040</v>
      </c>
      <c r="L54" s="1">
        <v>1650</v>
      </c>
      <c r="M54" s="5">
        <v>390</v>
      </c>
    </row>
    <row r="55" spans="1:13" x14ac:dyDescent="0.3">
      <c r="A55" s="4">
        <v>154</v>
      </c>
      <c r="B55" s="2">
        <v>45791</v>
      </c>
      <c r="C55" s="1" t="s">
        <v>91</v>
      </c>
      <c r="D55" s="1" t="s">
        <v>30</v>
      </c>
      <c r="E55" s="1" t="s">
        <v>31</v>
      </c>
      <c r="F55" s="1" t="s">
        <v>32</v>
      </c>
      <c r="G55" s="1">
        <v>3</v>
      </c>
      <c r="H55" s="1">
        <v>12000</v>
      </c>
      <c r="I55" s="3">
        <v>9500</v>
      </c>
      <c r="J55" s="1">
        <v>20</v>
      </c>
      <c r="K55" s="1">
        <v>28800</v>
      </c>
      <c r="L55" s="1">
        <v>28500</v>
      </c>
      <c r="M55" s="5">
        <v>300</v>
      </c>
    </row>
    <row r="56" spans="1:13" x14ac:dyDescent="0.3">
      <c r="A56" s="4">
        <v>155</v>
      </c>
      <c r="B56" s="2">
        <v>45792</v>
      </c>
      <c r="C56" s="1" t="s">
        <v>92</v>
      </c>
      <c r="D56" s="1" t="s">
        <v>34</v>
      </c>
      <c r="E56" s="1" t="s">
        <v>35</v>
      </c>
      <c r="F56" s="1" t="s">
        <v>16</v>
      </c>
      <c r="G56" s="1">
        <v>3</v>
      </c>
      <c r="H56" s="1">
        <v>18000</v>
      </c>
      <c r="I56" s="3">
        <v>14500</v>
      </c>
      <c r="J56" s="1">
        <v>25</v>
      </c>
      <c r="K56" s="1">
        <v>40500</v>
      </c>
      <c r="L56" s="1">
        <v>43500</v>
      </c>
      <c r="M56" s="5">
        <v>-3000</v>
      </c>
    </row>
    <row r="57" spans="1:13" x14ac:dyDescent="0.3">
      <c r="A57" s="4">
        <v>156</v>
      </c>
      <c r="B57" s="2">
        <v>45793</v>
      </c>
      <c r="C57" s="1" t="s">
        <v>93</v>
      </c>
      <c r="D57" s="1" t="s">
        <v>37</v>
      </c>
      <c r="E57" s="1" t="s">
        <v>38</v>
      </c>
      <c r="F57" s="1" t="s">
        <v>39</v>
      </c>
      <c r="G57" s="1">
        <v>3</v>
      </c>
      <c r="H57" s="1">
        <v>6000</v>
      </c>
      <c r="I57" s="3">
        <v>4500</v>
      </c>
      <c r="J57" s="1">
        <v>5</v>
      </c>
      <c r="K57" s="1">
        <v>17100</v>
      </c>
      <c r="L57" s="1">
        <v>13500</v>
      </c>
      <c r="M57" s="5">
        <v>3600</v>
      </c>
    </row>
    <row r="58" spans="1:13" x14ac:dyDescent="0.3">
      <c r="A58" s="4">
        <v>157</v>
      </c>
      <c r="B58" s="2">
        <v>45794</v>
      </c>
      <c r="C58" s="1" t="s">
        <v>94</v>
      </c>
      <c r="D58" s="1" t="s">
        <v>14</v>
      </c>
      <c r="E58" s="1" t="s">
        <v>41</v>
      </c>
      <c r="F58" s="1" t="s">
        <v>39</v>
      </c>
      <c r="G58" s="1">
        <v>3</v>
      </c>
      <c r="H58" s="1">
        <v>12000</v>
      </c>
      <c r="I58" s="3">
        <v>9000</v>
      </c>
      <c r="J58" s="1">
        <v>10</v>
      </c>
      <c r="K58" s="1">
        <v>32400</v>
      </c>
      <c r="L58" s="1">
        <v>27000</v>
      </c>
      <c r="M58" s="5">
        <v>5400</v>
      </c>
    </row>
    <row r="59" spans="1:13" x14ac:dyDescent="0.3">
      <c r="A59" s="4">
        <v>158</v>
      </c>
      <c r="B59" s="2">
        <v>45795</v>
      </c>
      <c r="C59" s="1" t="s">
        <v>95</v>
      </c>
      <c r="D59" s="1" t="s">
        <v>18</v>
      </c>
      <c r="E59" s="1" t="s">
        <v>43</v>
      </c>
      <c r="F59" s="1" t="s">
        <v>44</v>
      </c>
      <c r="G59" s="1">
        <v>3</v>
      </c>
      <c r="H59" s="1">
        <v>120</v>
      </c>
      <c r="I59" s="1">
        <v>80</v>
      </c>
      <c r="J59" s="1">
        <v>15</v>
      </c>
      <c r="K59" s="1">
        <v>306</v>
      </c>
      <c r="L59" s="1">
        <v>240</v>
      </c>
      <c r="M59" s="5">
        <v>66</v>
      </c>
    </row>
    <row r="60" spans="1:13" x14ac:dyDescent="0.3">
      <c r="A60" s="4">
        <v>159</v>
      </c>
      <c r="B60" s="2">
        <v>45796</v>
      </c>
      <c r="C60" s="1" t="s">
        <v>96</v>
      </c>
      <c r="D60" s="1" t="s">
        <v>21</v>
      </c>
      <c r="E60" s="1" t="s">
        <v>46</v>
      </c>
      <c r="F60" s="1" t="s">
        <v>44</v>
      </c>
      <c r="G60" s="1">
        <v>3</v>
      </c>
      <c r="H60" s="1">
        <v>25</v>
      </c>
      <c r="I60" s="1">
        <v>15</v>
      </c>
      <c r="J60" s="1">
        <v>20</v>
      </c>
      <c r="K60" s="1">
        <v>60</v>
      </c>
      <c r="L60" s="1">
        <v>45</v>
      </c>
      <c r="M60" s="5">
        <v>15</v>
      </c>
    </row>
    <row r="61" spans="1:13" x14ac:dyDescent="0.3">
      <c r="A61" s="4">
        <v>160</v>
      </c>
      <c r="B61" s="2">
        <v>45797</v>
      </c>
      <c r="C61" s="1" t="s">
        <v>97</v>
      </c>
      <c r="D61" s="1" t="s">
        <v>24</v>
      </c>
      <c r="E61" s="1" t="s">
        <v>48</v>
      </c>
      <c r="F61" s="1" t="s">
        <v>49</v>
      </c>
      <c r="G61" s="1">
        <v>3</v>
      </c>
      <c r="H61" s="1">
        <v>1800</v>
      </c>
      <c r="I61" s="3">
        <v>1300</v>
      </c>
      <c r="J61" s="1">
        <v>25</v>
      </c>
      <c r="K61" s="1">
        <v>4050</v>
      </c>
      <c r="L61" s="1">
        <v>3900</v>
      </c>
      <c r="M61" s="5">
        <v>150</v>
      </c>
    </row>
    <row r="62" spans="1:13" x14ac:dyDescent="0.3">
      <c r="A62" s="4">
        <v>161</v>
      </c>
      <c r="B62" s="2">
        <v>45798</v>
      </c>
      <c r="C62" s="1" t="s">
        <v>98</v>
      </c>
      <c r="D62" s="1" t="s">
        <v>27</v>
      </c>
      <c r="E62" s="1" t="s">
        <v>15</v>
      </c>
      <c r="F62" s="1" t="s">
        <v>16</v>
      </c>
      <c r="G62" s="1">
        <v>3</v>
      </c>
      <c r="H62" s="1">
        <v>55000</v>
      </c>
      <c r="I62" s="3">
        <v>45000</v>
      </c>
      <c r="J62" s="1">
        <v>5</v>
      </c>
      <c r="K62" s="1">
        <v>156750</v>
      </c>
      <c r="L62" s="1">
        <v>135000</v>
      </c>
      <c r="M62" s="5">
        <v>21750</v>
      </c>
    </row>
    <row r="63" spans="1:13" x14ac:dyDescent="0.3">
      <c r="A63" s="4">
        <v>162</v>
      </c>
      <c r="B63" s="2">
        <v>45799</v>
      </c>
      <c r="C63" s="1" t="s">
        <v>99</v>
      </c>
      <c r="D63" s="1" t="s">
        <v>30</v>
      </c>
      <c r="E63" s="1" t="s">
        <v>19</v>
      </c>
      <c r="F63" s="1" t="s">
        <v>16</v>
      </c>
      <c r="G63" s="1">
        <v>3</v>
      </c>
      <c r="H63" s="1">
        <v>25000</v>
      </c>
      <c r="I63" s="3">
        <v>20000</v>
      </c>
      <c r="J63" s="1">
        <v>10</v>
      </c>
      <c r="K63" s="1">
        <v>67500</v>
      </c>
      <c r="L63" s="1">
        <v>60000</v>
      </c>
      <c r="M63" s="5">
        <v>7500</v>
      </c>
    </row>
    <row r="64" spans="1:13" x14ac:dyDescent="0.3">
      <c r="A64" s="4">
        <v>163</v>
      </c>
      <c r="B64" s="2">
        <v>45800</v>
      </c>
      <c r="C64" s="1" t="s">
        <v>100</v>
      </c>
      <c r="D64" s="1" t="s">
        <v>34</v>
      </c>
      <c r="E64" s="1" t="s">
        <v>22</v>
      </c>
      <c r="F64" s="1" t="s">
        <v>16</v>
      </c>
      <c r="G64" s="1">
        <v>3</v>
      </c>
      <c r="H64" s="1">
        <v>2500</v>
      </c>
      <c r="I64" s="3">
        <v>1800</v>
      </c>
      <c r="J64" s="1">
        <v>15</v>
      </c>
      <c r="K64" s="1">
        <v>6375</v>
      </c>
      <c r="L64" s="1">
        <v>5400</v>
      </c>
      <c r="M64" s="5">
        <v>975</v>
      </c>
    </row>
    <row r="65" spans="1:13" x14ac:dyDescent="0.3">
      <c r="A65" s="4">
        <v>164</v>
      </c>
      <c r="B65" s="2">
        <v>45801</v>
      </c>
      <c r="C65" s="1" t="s">
        <v>101</v>
      </c>
      <c r="D65" s="1" t="s">
        <v>37</v>
      </c>
      <c r="E65" s="1" t="s">
        <v>25</v>
      </c>
      <c r="F65" s="1" t="s">
        <v>16</v>
      </c>
      <c r="G65" s="1">
        <v>3</v>
      </c>
      <c r="H65" s="1">
        <v>1500</v>
      </c>
      <c r="I65" s="3">
        <v>1100</v>
      </c>
      <c r="J65" s="1">
        <v>20</v>
      </c>
      <c r="K65" s="1">
        <v>3600</v>
      </c>
      <c r="L65" s="1">
        <v>3300</v>
      </c>
      <c r="M65" s="5">
        <v>300</v>
      </c>
    </row>
    <row r="66" spans="1:13" x14ac:dyDescent="0.3">
      <c r="A66" s="4">
        <v>165</v>
      </c>
      <c r="B66" s="2">
        <v>45802</v>
      </c>
      <c r="C66" s="1" t="s">
        <v>102</v>
      </c>
      <c r="D66" s="1" t="s">
        <v>14</v>
      </c>
      <c r="E66" s="1" t="s">
        <v>28</v>
      </c>
      <c r="F66" s="1" t="s">
        <v>16</v>
      </c>
      <c r="G66" s="1">
        <v>3</v>
      </c>
      <c r="H66" s="1">
        <v>800</v>
      </c>
      <c r="I66" s="1">
        <v>550</v>
      </c>
      <c r="J66" s="1">
        <v>25</v>
      </c>
      <c r="K66" s="1">
        <v>1800</v>
      </c>
      <c r="L66" s="1">
        <v>1650</v>
      </c>
      <c r="M66" s="5">
        <v>150</v>
      </c>
    </row>
    <row r="67" spans="1:13" x14ac:dyDescent="0.3">
      <c r="A67" s="4">
        <v>166</v>
      </c>
      <c r="B67" s="2">
        <v>45803</v>
      </c>
      <c r="C67" s="1" t="s">
        <v>103</v>
      </c>
      <c r="D67" s="1" t="s">
        <v>18</v>
      </c>
      <c r="E67" s="1" t="s">
        <v>31</v>
      </c>
      <c r="F67" s="1" t="s">
        <v>32</v>
      </c>
      <c r="G67" s="1">
        <v>3</v>
      </c>
      <c r="H67" s="1">
        <v>12000</v>
      </c>
      <c r="I67" s="3">
        <v>9500</v>
      </c>
      <c r="J67" s="1">
        <v>5</v>
      </c>
      <c r="K67" s="1">
        <v>34200</v>
      </c>
      <c r="L67" s="1">
        <v>28500</v>
      </c>
      <c r="M67" s="5">
        <v>5700</v>
      </c>
    </row>
    <row r="68" spans="1:13" x14ac:dyDescent="0.3">
      <c r="A68" s="4">
        <v>167</v>
      </c>
      <c r="B68" s="2">
        <v>45804</v>
      </c>
      <c r="C68" s="1" t="s">
        <v>104</v>
      </c>
      <c r="D68" s="1" t="s">
        <v>21</v>
      </c>
      <c r="E68" s="1" t="s">
        <v>35</v>
      </c>
      <c r="F68" s="1" t="s">
        <v>16</v>
      </c>
      <c r="G68" s="1">
        <v>3</v>
      </c>
      <c r="H68" s="1">
        <v>18000</v>
      </c>
      <c r="I68" s="3">
        <v>14500</v>
      </c>
      <c r="J68" s="1">
        <v>10</v>
      </c>
      <c r="K68" s="1">
        <v>48600</v>
      </c>
      <c r="L68" s="1">
        <v>43500</v>
      </c>
      <c r="M68" s="5">
        <v>5100</v>
      </c>
    </row>
    <row r="69" spans="1:13" x14ac:dyDescent="0.3">
      <c r="A69" s="4">
        <v>168</v>
      </c>
      <c r="B69" s="2">
        <v>45805</v>
      </c>
      <c r="C69" s="1" t="s">
        <v>105</v>
      </c>
      <c r="D69" s="1" t="s">
        <v>24</v>
      </c>
      <c r="E69" s="1" t="s">
        <v>38</v>
      </c>
      <c r="F69" s="1" t="s">
        <v>39</v>
      </c>
      <c r="G69" s="1">
        <v>3</v>
      </c>
      <c r="H69" s="1">
        <v>6000</v>
      </c>
      <c r="I69" s="3">
        <v>4500</v>
      </c>
      <c r="J69" s="1">
        <v>15</v>
      </c>
      <c r="K69" s="1">
        <v>15300</v>
      </c>
      <c r="L69" s="1">
        <v>13500</v>
      </c>
      <c r="M69" s="5">
        <v>1800</v>
      </c>
    </row>
    <row r="70" spans="1:13" x14ac:dyDescent="0.3">
      <c r="A70" s="4">
        <v>169</v>
      </c>
      <c r="B70" s="2">
        <v>45806</v>
      </c>
      <c r="C70" s="1" t="s">
        <v>106</v>
      </c>
      <c r="D70" s="1" t="s">
        <v>27</v>
      </c>
      <c r="E70" s="1" t="s">
        <v>41</v>
      </c>
      <c r="F70" s="1" t="s">
        <v>39</v>
      </c>
      <c r="G70" s="1">
        <v>3</v>
      </c>
      <c r="H70" s="1">
        <v>12000</v>
      </c>
      <c r="I70" s="3">
        <v>9000</v>
      </c>
      <c r="J70" s="1">
        <v>20</v>
      </c>
      <c r="K70" s="1">
        <v>28800</v>
      </c>
      <c r="L70" s="1">
        <v>27000</v>
      </c>
      <c r="M70" s="5">
        <v>1800</v>
      </c>
    </row>
    <row r="71" spans="1:13" x14ac:dyDescent="0.3">
      <c r="A71" s="4">
        <v>170</v>
      </c>
      <c r="B71" s="2">
        <v>45807</v>
      </c>
      <c r="C71" s="1" t="s">
        <v>107</v>
      </c>
      <c r="D71" s="1" t="s">
        <v>30</v>
      </c>
      <c r="E71" s="1" t="s">
        <v>43</v>
      </c>
      <c r="F71" s="1" t="s">
        <v>44</v>
      </c>
      <c r="G71" s="1">
        <v>3</v>
      </c>
      <c r="H71" s="1">
        <v>120</v>
      </c>
      <c r="I71" s="1">
        <v>80</v>
      </c>
      <c r="J71" s="1">
        <v>25</v>
      </c>
      <c r="K71" s="1">
        <v>270</v>
      </c>
      <c r="L71" s="1">
        <v>240</v>
      </c>
      <c r="M71" s="5">
        <v>30</v>
      </c>
    </row>
    <row r="72" spans="1:13" x14ac:dyDescent="0.3">
      <c r="A72" s="4">
        <v>171</v>
      </c>
      <c r="B72" s="2">
        <v>45808</v>
      </c>
      <c r="C72" s="1" t="s">
        <v>108</v>
      </c>
      <c r="D72" s="1" t="s">
        <v>34</v>
      </c>
      <c r="E72" s="1" t="s">
        <v>46</v>
      </c>
      <c r="F72" s="1" t="s">
        <v>44</v>
      </c>
      <c r="G72" s="1">
        <v>3</v>
      </c>
      <c r="H72" s="1">
        <v>25</v>
      </c>
      <c r="I72" s="1">
        <v>15</v>
      </c>
      <c r="J72" s="1">
        <v>5</v>
      </c>
      <c r="K72" s="1">
        <v>71.25</v>
      </c>
      <c r="L72" s="1">
        <v>45</v>
      </c>
      <c r="M72" s="5">
        <v>26.25</v>
      </c>
    </row>
    <row r="73" spans="1:13" x14ac:dyDescent="0.3">
      <c r="A73" s="4">
        <v>172</v>
      </c>
      <c r="B73" s="2">
        <v>45809</v>
      </c>
      <c r="C73" s="1" t="s">
        <v>109</v>
      </c>
      <c r="D73" s="1" t="s">
        <v>37</v>
      </c>
      <c r="E73" s="1" t="s">
        <v>48</v>
      </c>
      <c r="F73" s="1" t="s">
        <v>49</v>
      </c>
      <c r="G73" s="1">
        <v>3</v>
      </c>
      <c r="H73" s="1">
        <v>1800</v>
      </c>
      <c r="I73" s="3">
        <v>1300</v>
      </c>
      <c r="J73" s="1">
        <v>10</v>
      </c>
      <c r="K73" s="1">
        <v>4860</v>
      </c>
      <c r="L73" s="1">
        <v>3900</v>
      </c>
      <c r="M73" s="5">
        <v>960</v>
      </c>
    </row>
    <row r="74" spans="1:13" x14ac:dyDescent="0.3">
      <c r="A74" s="4">
        <v>173</v>
      </c>
      <c r="B74" s="2">
        <v>45810</v>
      </c>
      <c r="C74" s="1" t="s">
        <v>110</v>
      </c>
      <c r="D74" s="1" t="s">
        <v>14</v>
      </c>
      <c r="E74" s="1" t="s">
        <v>15</v>
      </c>
      <c r="F74" s="1" t="s">
        <v>16</v>
      </c>
      <c r="G74" s="1">
        <v>3</v>
      </c>
      <c r="H74" s="1">
        <v>55000</v>
      </c>
      <c r="I74" s="3">
        <v>45000</v>
      </c>
      <c r="J74" s="1">
        <v>15</v>
      </c>
      <c r="K74" s="1">
        <v>140250</v>
      </c>
      <c r="L74" s="1">
        <v>135000</v>
      </c>
      <c r="M74" s="5">
        <v>5250</v>
      </c>
    </row>
    <row r="75" spans="1:13" x14ac:dyDescent="0.3">
      <c r="A75" s="4">
        <v>174</v>
      </c>
      <c r="B75" s="2">
        <v>45811</v>
      </c>
      <c r="C75" s="1" t="s">
        <v>111</v>
      </c>
      <c r="D75" s="1" t="s">
        <v>18</v>
      </c>
      <c r="E75" s="1" t="s">
        <v>19</v>
      </c>
      <c r="F75" s="1" t="s">
        <v>16</v>
      </c>
      <c r="G75" s="1">
        <v>3</v>
      </c>
      <c r="H75" s="1">
        <v>25000</v>
      </c>
      <c r="I75" s="3">
        <v>20000</v>
      </c>
      <c r="J75" s="1">
        <v>20</v>
      </c>
      <c r="K75" s="1">
        <v>60000</v>
      </c>
      <c r="L75" s="1">
        <v>60000</v>
      </c>
      <c r="M75" s="5">
        <v>0</v>
      </c>
    </row>
    <row r="76" spans="1:13" x14ac:dyDescent="0.3">
      <c r="A76" s="4">
        <v>175</v>
      </c>
      <c r="B76" s="2">
        <v>45812</v>
      </c>
      <c r="C76" s="1" t="s">
        <v>112</v>
      </c>
      <c r="D76" s="1" t="s">
        <v>21</v>
      </c>
      <c r="E76" s="1" t="s">
        <v>22</v>
      </c>
      <c r="F76" s="1" t="s">
        <v>16</v>
      </c>
      <c r="G76" s="1">
        <v>3</v>
      </c>
      <c r="H76" s="1">
        <v>2500</v>
      </c>
      <c r="I76" s="3">
        <v>1800</v>
      </c>
      <c r="J76" s="1">
        <v>25</v>
      </c>
      <c r="K76" s="1">
        <v>5625</v>
      </c>
      <c r="L76" s="1">
        <v>5400</v>
      </c>
      <c r="M76" s="5">
        <v>225</v>
      </c>
    </row>
    <row r="77" spans="1:13" x14ac:dyDescent="0.3">
      <c r="A77" s="4">
        <v>176</v>
      </c>
      <c r="B77" s="2">
        <v>45813</v>
      </c>
      <c r="C77" s="1" t="s">
        <v>113</v>
      </c>
      <c r="D77" s="1" t="s">
        <v>24</v>
      </c>
      <c r="E77" s="1" t="s">
        <v>25</v>
      </c>
      <c r="F77" s="1" t="s">
        <v>16</v>
      </c>
      <c r="G77" s="1">
        <v>3</v>
      </c>
      <c r="H77" s="1">
        <v>1500</v>
      </c>
      <c r="I77" s="3">
        <v>1100</v>
      </c>
      <c r="J77" s="1">
        <v>15</v>
      </c>
      <c r="K77" s="1">
        <v>3825</v>
      </c>
      <c r="L77" s="1">
        <v>3300</v>
      </c>
      <c r="M77" s="5">
        <v>525</v>
      </c>
    </row>
    <row r="78" spans="1:13" x14ac:dyDescent="0.3">
      <c r="A78" s="4">
        <v>177</v>
      </c>
      <c r="B78" s="2">
        <v>45814</v>
      </c>
      <c r="C78" s="1" t="s">
        <v>114</v>
      </c>
      <c r="D78" s="1" t="s">
        <v>27</v>
      </c>
      <c r="E78" s="1" t="s">
        <v>28</v>
      </c>
      <c r="F78" s="1" t="s">
        <v>16</v>
      </c>
      <c r="G78" s="1">
        <v>3</v>
      </c>
      <c r="H78" s="1">
        <v>800</v>
      </c>
      <c r="I78" s="1">
        <v>550</v>
      </c>
      <c r="J78" s="1">
        <v>20</v>
      </c>
      <c r="K78" s="1">
        <v>1920</v>
      </c>
      <c r="L78" s="1">
        <v>1650</v>
      </c>
      <c r="M78" s="5">
        <v>270</v>
      </c>
    </row>
    <row r="79" spans="1:13" x14ac:dyDescent="0.3">
      <c r="A79" s="4">
        <v>178</v>
      </c>
      <c r="B79" s="2">
        <v>45815</v>
      </c>
      <c r="C79" s="1" t="s">
        <v>115</v>
      </c>
      <c r="D79" s="1" t="s">
        <v>30</v>
      </c>
      <c r="E79" s="1" t="s">
        <v>31</v>
      </c>
      <c r="F79" s="1" t="s">
        <v>32</v>
      </c>
      <c r="G79" s="1">
        <v>3</v>
      </c>
      <c r="H79" s="1">
        <v>12000</v>
      </c>
      <c r="I79" s="3">
        <v>9500</v>
      </c>
      <c r="J79" s="1">
        <v>25</v>
      </c>
      <c r="K79" s="1">
        <v>27000</v>
      </c>
      <c r="L79" s="1">
        <v>28500</v>
      </c>
      <c r="M79" s="5">
        <v>-1500</v>
      </c>
    </row>
    <row r="80" spans="1:13" x14ac:dyDescent="0.3">
      <c r="A80" s="4">
        <v>179</v>
      </c>
      <c r="B80" s="2">
        <v>45816</v>
      </c>
      <c r="C80" s="1" t="s">
        <v>116</v>
      </c>
      <c r="D80" s="1" t="s">
        <v>34</v>
      </c>
      <c r="E80" s="1" t="s">
        <v>35</v>
      </c>
      <c r="F80" s="1" t="s">
        <v>16</v>
      </c>
      <c r="G80" s="1">
        <v>3</v>
      </c>
      <c r="H80" s="1">
        <v>18000</v>
      </c>
      <c r="I80" s="3">
        <v>14500</v>
      </c>
      <c r="J80" s="1">
        <v>5</v>
      </c>
      <c r="K80" s="1">
        <v>51300</v>
      </c>
      <c r="L80" s="1">
        <v>43500</v>
      </c>
      <c r="M80" s="5">
        <v>7800</v>
      </c>
    </row>
    <row r="81" spans="1:13" x14ac:dyDescent="0.3">
      <c r="A81" s="4">
        <v>180</v>
      </c>
      <c r="B81" s="2">
        <v>45817</v>
      </c>
      <c r="C81" s="1" t="s">
        <v>117</v>
      </c>
      <c r="D81" s="1" t="s">
        <v>37</v>
      </c>
      <c r="E81" s="1" t="s">
        <v>38</v>
      </c>
      <c r="F81" s="1" t="s">
        <v>39</v>
      </c>
      <c r="G81" s="1">
        <v>3</v>
      </c>
      <c r="H81" s="1">
        <v>6000</v>
      </c>
      <c r="I81" s="3">
        <v>4500</v>
      </c>
      <c r="J81" s="1">
        <v>10</v>
      </c>
      <c r="K81" s="1">
        <v>16200</v>
      </c>
      <c r="L81" s="1">
        <v>13500</v>
      </c>
      <c r="M81" s="5">
        <v>2700</v>
      </c>
    </row>
    <row r="82" spans="1:13" x14ac:dyDescent="0.3">
      <c r="A82" s="4">
        <v>181</v>
      </c>
      <c r="B82" s="2">
        <v>45818</v>
      </c>
      <c r="C82" s="1" t="s">
        <v>118</v>
      </c>
      <c r="D82" s="1" t="s">
        <v>14</v>
      </c>
      <c r="E82" s="1" t="s">
        <v>41</v>
      </c>
      <c r="F82" s="1" t="s">
        <v>39</v>
      </c>
      <c r="G82" s="1">
        <v>3</v>
      </c>
      <c r="H82" s="1">
        <v>12000</v>
      </c>
      <c r="I82" s="3">
        <v>9000</v>
      </c>
      <c r="J82" s="1">
        <v>15</v>
      </c>
      <c r="K82" s="1">
        <v>30600</v>
      </c>
      <c r="L82" s="1">
        <v>27000</v>
      </c>
      <c r="M82" s="5">
        <v>3600</v>
      </c>
    </row>
    <row r="83" spans="1:13" x14ac:dyDescent="0.3">
      <c r="A83" s="4">
        <v>182</v>
      </c>
      <c r="B83" s="2">
        <v>45819</v>
      </c>
      <c r="C83" s="1" t="s">
        <v>119</v>
      </c>
      <c r="D83" s="1" t="s">
        <v>18</v>
      </c>
      <c r="E83" s="1" t="s">
        <v>43</v>
      </c>
      <c r="F83" s="1" t="s">
        <v>44</v>
      </c>
      <c r="G83" s="1">
        <v>3</v>
      </c>
      <c r="H83" s="1">
        <v>120</v>
      </c>
      <c r="I83" s="1">
        <v>80</v>
      </c>
      <c r="J83" s="1">
        <v>20</v>
      </c>
      <c r="K83" s="1">
        <v>288</v>
      </c>
      <c r="L83" s="1">
        <v>240</v>
      </c>
      <c r="M83" s="5">
        <v>48</v>
      </c>
    </row>
    <row r="84" spans="1:13" x14ac:dyDescent="0.3">
      <c r="A84" s="4">
        <v>183</v>
      </c>
      <c r="B84" s="2">
        <v>45820</v>
      </c>
      <c r="C84" s="1" t="s">
        <v>120</v>
      </c>
      <c r="D84" s="1" t="s">
        <v>21</v>
      </c>
      <c r="E84" s="1" t="s">
        <v>46</v>
      </c>
      <c r="F84" s="1" t="s">
        <v>44</v>
      </c>
      <c r="G84" s="1">
        <v>3</v>
      </c>
      <c r="H84" s="1">
        <v>25</v>
      </c>
      <c r="I84" s="1">
        <v>15</v>
      </c>
      <c r="J84" s="1">
        <v>25</v>
      </c>
      <c r="K84" s="1">
        <v>56.25</v>
      </c>
      <c r="L84" s="1">
        <v>45</v>
      </c>
      <c r="M84" s="5">
        <v>11.25</v>
      </c>
    </row>
    <row r="85" spans="1:13" x14ac:dyDescent="0.3">
      <c r="A85" s="4">
        <v>184</v>
      </c>
      <c r="B85" s="2">
        <v>45821</v>
      </c>
      <c r="C85" s="1" t="s">
        <v>121</v>
      </c>
      <c r="D85" s="1" t="s">
        <v>24</v>
      </c>
      <c r="E85" s="1" t="s">
        <v>48</v>
      </c>
      <c r="F85" s="1" t="s">
        <v>49</v>
      </c>
      <c r="G85" s="1">
        <v>3</v>
      </c>
      <c r="H85" s="1">
        <v>1800</v>
      </c>
      <c r="I85" s="3">
        <v>1300</v>
      </c>
      <c r="J85" s="1">
        <v>5</v>
      </c>
      <c r="K85" s="1">
        <v>5130</v>
      </c>
      <c r="L85" s="1">
        <v>3900</v>
      </c>
      <c r="M85" s="5">
        <v>1230</v>
      </c>
    </row>
    <row r="86" spans="1:13" x14ac:dyDescent="0.3">
      <c r="A86" s="4">
        <v>185</v>
      </c>
      <c r="B86" s="2">
        <v>45822</v>
      </c>
      <c r="C86" s="1" t="s">
        <v>122</v>
      </c>
      <c r="D86" s="1" t="s">
        <v>27</v>
      </c>
      <c r="E86" s="1" t="s">
        <v>15</v>
      </c>
      <c r="F86" s="1" t="s">
        <v>16</v>
      </c>
      <c r="G86" s="1">
        <v>1</v>
      </c>
      <c r="H86" s="1">
        <v>55000</v>
      </c>
      <c r="I86" s="3">
        <v>45000</v>
      </c>
      <c r="J86" s="1">
        <v>10</v>
      </c>
      <c r="K86" s="1">
        <v>49500</v>
      </c>
      <c r="L86" s="1">
        <v>45000</v>
      </c>
      <c r="M86" s="5">
        <v>4500</v>
      </c>
    </row>
    <row r="87" spans="1:13" x14ac:dyDescent="0.3">
      <c r="A87" s="4">
        <v>186</v>
      </c>
      <c r="B87" s="2">
        <v>45823</v>
      </c>
      <c r="C87" s="1" t="s">
        <v>123</v>
      </c>
      <c r="D87" s="1" t="s">
        <v>30</v>
      </c>
      <c r="E87" s="1" t="s">
        <v>19</v>
      </c>
      <c r="F87" s="1" t="s">
        <v>16</v>
      </c>
      <c r="G87" s="1">
        <v>1</v>
      </c>
      <c r="H87" s="1">
        <v>25000</v>
      </c>
      <c r="I87" s="3">
        <v>20000</v>
      </c>
      <c r="J87" s="1">
        <v>15</v>
      </c>
      <c r="K87" s="1">
        <v>21250</v>
      </c>
      <c r="L87" s="1">
        <v>20000</v>
      </c>
      <c r="M87" s="5">
        <v>1250</v>
      </c>
    </row>
    <row r="88" spans="1:13" x14ac:dyDescent="0.3">
      <c r="A88" s="4">
        <v>187</v>
      </c>
      <c r="B88" s="2">
        <v>45824</v>
      </c>
      <c r="C88" s="1" t="s">
        <v>124</v>
      </c>
      <c r="D88" s="1" t="s">
        <v>34</v>
      </c>
      <c r="E88" s="1" t="s">
        <v>22</v>
      </c>
      <c r="F88" s="1" t="s">
        <v>16</v>
      </c>
      <c r="G88" s="1">
        <v>1</v>
      </c>
      <c r="H88" s="1">
        <v>2500</v>
      </c>
      <c r="I88" s="3">
        <v>1800</v>
      </c>
      <c r="J88" s="1">
        <v>20</v>
      </c>
      <c r="K88" s="1">
        <v>2000</v>
      </c>
      <c r="L88" s="1">
        <v>1800</v>
      </c>
      <c r="M88" s="5">
        <v>200</v>
      </c>
    </row>
    <row r="89" spans="1:13" x14ac:dyDescent="0.3">
      <c r="A89" s="4">
        <v>188</v>
      </c>
      <c r="B89" s="2">
        <v>45825</v>
      </c>
      <c r="C89" s="1" t="s">
        <v>125</v>
      </c>
      <c r="D89" s="1" t="s">
        <v>37</v>
      </c>
      <c r="E89" s="1" t="s">
        <v>25</v>
      </c>
      <c r="F89" s="1" t="s">
        <v>16</v>
      </c>
      <c r="G89" s="1">
        <v>1</v>
      </c>
      <c r="H89" s="1">
        <v>1500</v>
      </c>
      <c r="I89" s="3">
        <v>1100</v>
      </c>
      <c r="J89" s="1">
        <v>25</v>
      </c>
      <c r="K89" s="1">
        <v>1125</v>
      </c>
      <c r="L89" s="1">
        <v>1100</v>
      </c>
      <c r="M89" s="5">
        <v>25</v>
      </c>
    </row>
    <row r="90" spans="1:13" x14ac:dyDescent="0.3">
      <c r="A90" s="4">
        <v>189</v>
      </c>
      <c r="B90" s="2">
        <v>45826</v>
      </c>
      <c r="C90" s="1" t="s">
        <v>126</v>
      </c>
      <c r="D90" s="1" t="s">
        <v>14</v>
      </c>
      <c r="E90" s="1" t="s">
        <v>28</v>
      </c>
      <c r="F90" s="1" t="s">
        <v>16</v>
      </c>
      <c r="G90" s="1">
        <v>1</v>
      </c>
      <c r="H90" s="1">
        <v>800</v>
      </c>
      <c r="I90" s="1">
        <v>550</v>
      </c>
      <c r="J90" s="1">
        <v>5</v>
      </c>
      <c r="K90" s="1">
        <v>760</v>
      </c>
      <c r="L90" s="1">
        <v>550</v>
      </c>
      <c r="M90" s="5">
        <v>210</v>
      </c>
    </row>
    <row r="91" spans="1:13" x14ac:dyDescent="0.3">
      <c r="A91" s="4">
        <v>190</v>
      </c>
      <c r="B91" s="2">
        <v>45827</v>
      </c>
      <c r="C91" s="1" t="s">
        <v>127</v>
      </c>
      <c r="D91" s="1" t="s">
        <v>18</v>
      </c>
      <c r="E91" s="1" t="s">
        <v>31</v>
      </c>
      <c r="F91" s="1" t="s">
        <v>32</v>
      </c>
      <c r="G91" s="1">
        <v>1</v>
      </c>
      <c r="H91" s="1">
        <v>12000</v>
      </c>
      <c r="I91" s="3">
        <v>9500</v>
      </c>
      <c r="J91" s="1">
        <v>10</v>
      </c>
      <c r="K91" s="1">
        <v>10800</v>
      </c>
      <c r="L91" s="1">
        <v>9500</v>
      </c>
      <c r="M91" s="5">
        <v>1300</v>
      </c>
    </row>
    <row r="92" spans="1:13" x14ac:dyDescent="0.3">
      <c r="A92" s="4">
        <v>191</v>
      </c>
      <c r="B92" s="2">
        <v>45828</v>
      </c>
      <c r="C92" s="1" t="s">
        <v>128</v>
      </c>
      <c r="D92" s="1" t="s">
        <v>21</v>
      </c>
      <c r="E92" s="1" t="s">
        <v>35</v>
      </c>
      <c r="F92" s="1" t="s">
        <v>16</v>
      </c>
      <c r="G92" s="1">
        <v>1</v>
      </c>
      <c r="H92" s="1">
        <v>18000</v>
      </c>
      <c r="I92" s="3">
        <v>14500</v>
      </c>
      <c r="J92" s="1">
        <v>15</v>
      </c>
      <c r="K92" s="1">
        <v>15300</v>
      </c>
      <c r="L92" s="1">
        <v>14500</v>
      </c>
      <c r="M92" s="5">
        <v>800</v>
      </c>
    </row>
    <row r="93" spans="1:13" x14ac:dyDescent="0.3">
      <c r="A93" s="4">
        <v>192</v>
      </c>
      <c r="B93" s="2">
        <v>45829</v>
      </c>
      <c r="C93" s="1" t="s">
        <v>129</v>
      </c>
      <c r="D93" s="1" t="s">
        <v>24</v>
      </c>
      <c r="E93" s="1" t="s">
        <v>38</v>
      </c>
      <c r="F93" s="1" t="s">
        <v>39</v>
      </c>
      <c r="G93" s="1">
        <v>1</v>
      </c>
      <c r="H93" s="1">
        <v>6000</v>
      </c>
      <c r="I93" s="3">
        <v>4500</v>
      </c>
      <c r="J93" s="1">
        <v>20</v>
      </c>
      <c r="K93" s="1">
        <v>4800</v>
      </c>
      <c r="L93" s="1">
        <v>4500</v>
      </c>
      <c r="M93" s="5">
        <v>300</v>
      </c>
    </row>
    <row r="94" spans="1:13" x14ac:dyDescent="0.3">
      <c r="A94" s="4">
        <v>193</v>
      </c>
      <c r="B94" s="2">
        <v>45830</v>
      </c>
      <c r="C94" s="1" t="s">
        <v>130</v>
      </c>
      <c r="D94" s="1" t="s">
        <v>27</v>
      </c>
      <c r="E94" s="1" t="s">
        <v>41</v>
      </c>
      <c r="F94" s="1" t="s">
        <v>39</v>
      </c>
      <c r="G94" s="1">
        <v>1</v>
      </c>
      <c r="H94" s="1">
        <v>12000</v>
      </c>
      <c r="I94" s="3">
        <v>9000</v>
      </c>
      <c r="J94" s="1">
        <v>25</v>
      </c>
      <c r="K94" s="1">
        <v>9000</v>
      </c>
      <c r="L94" s="1">
        <v>9000</v>
      </c>
      <c r="M94" s="5">
        <v>0</v>
      </c>
    </row>
    <row r="95" spans="1:13" x14ac:dyDescent="0.3">
      <c r="A95" s="4">
        <v>194</v>
      </c>
      <c r="B95" s="2">
        <v>45831</v>
      </c>
      <c r="C95" s="1" t="s">
        <v>131</v>
      </c>
      <c r="D95" s="1" t="s">
        <v>30</v>
      </c>
      <c r="E95" s="1" t="s">
        <v>43</v>
      </c>
      <c r="F95" s="1" t="s">
        <v>44</v>
      </c>
      <c r="G95" s="1">
        <v>1</v>
      </c>
      <c r="H95" s="1">
        <v>120</v>
      </c>
      <c r="I95" s="1">
        <v>80</v>
      </c>
      <c r="J95" s="1">
        <v>5</v>
      </c>
      <c r="K95" s="1">
        <v>114</v>
      </c>
      <c r="L95" s="1">
        <v>80</v>
      </c>
      <c r="M95" s="5">
        <v>34</v>
      </c>
    </row>
    <row r="96" spans="1:13" x14ac:dyDescent="0.3">
      <c r="A96" s="4">
        <v>195</v>
      </c>
      <c r="B96" s="2">
        <v>45832</v>
      </c>
      <c r="C96" s="1" t="s">
        <v>132</v>
      </c>
      <c r="D96" s="1" t="s">
        <v>34</v>
      </c>
      <c r="E96" s="1" t="s">
        <v>46</v>
      </c>
      <c r="F96" s="1" t="s">
        <v>44</v>
      </c>
      <c r="G96" s="1">
        <v>1</v>
      </c>
      <c r="H96" s="1">
        <v>25</v>
      </c>
      <c r="I96" s="1">
        <v>15</v>
      </c>
      <c r="J96" s="1">
        <v>10</v>
      </c>
      <c r="K96" s="1">
        <v>22.5</v>
      </c>
      <c r="L96" s="1">
        <v>15</v>
      </c>
      <c r="M96" s="5">
        <v>7.5</v>
      </c>
    </row>
    <row r="97" spans="1:13" x14ac:dyDescent="0.3">
      <c r="A97" s="4">
        <v>196</v>
      </c>
      <c r="B97" s="2">
        <v>45833</v>
      </c>
      <c r="C97" s="1" t="s">
        <v>133</v>
      </c>
      <c r="D97" s="1" t="s">
        <v>37</v>
      </c>
      <c r="E97" s="1" t="s">
        <v>48</v>
      </c>
      <c r="F97" s="1" t="s">
        <v>49</v>
      </c>
      <c r="G97" s="1">
        <v>1</v>
      </c>
      <c r="H97" s="1">
        <v>1800</v>
      </c>
      <c r="I97" s="3">
        <v>1300</v>
      </c>
      <c r="J97" s="1">
        <v>15</v>
      </c>
      <c r="K97" s="1">
        <v>1530</v>
      </c>
      <c r="L97" s="1">
        <v>1300</v>
      </c>
      <c r="M97" s="5">
        <v>230</v>
      </c>
    </row>
    <row r="98" spans="1:13" x14ac:dyDescent="0.3">
      <c r="A98" s="4">
        <v>197</v>
      </c>
      <c r="B98" s="2">
        <v>45834</v>
      </c>
      <c r="C98" s="1" t="s">
        <v>134</v>
      </c>
      <c r="D98" s="1" t="s">
        <v>14</v>
      </c>
      <c r="E98" s="1" t="s">
        <v>15</v>
      </c>
      <c r="F98" s="1" t="s">
        <v>16</v>
      </c>
      <c r="G98" s="1">
        <v>1</v>
      </c>
      <c r="H98" s="1">
        <v>55000</v>
      </c>
      <c r="I98" s="3">
        <v>45000</v>
      </c>
      <c r="J98" s="1">
        <v>20</v>
      </c>
      <c r="K98" s="1">
        <v>44000</v>
      </c>
      <c r="L98" s="1">
        <v>45000</v>
      </c>
      <c r="M98" s="5">
        <v>-1000</v>
      </c>
    </row>
    <row r="99" spans="1:13" x14ac:dyDescent="0.3">
      <c r="A99" s="4">
        <v>198</v>
      </c>
      <c r="B99" s="2">
        <v>45835</v>
      </c>
      <c r="C99" s="1" t="s">
        <v>135</v>
      </c>
      <c r="D99" s="1" t="s">
        <v>18</v>
      </c>
      <c r="E99" s="1" t="s">
        <v>19</v>
      </c>
      <c r="F99" s="1" t="s">
        <v>16</v>
      </c>
      <c r="G99" s="1">
        <v>1</v>
      </c>
      <c r="H99" s="1">
        <v>25000</v>
      </c>
      <c r="I99" s="3">
        <v>20000</v>
      </c>
      <c r="J99" s="1">
        <v>25</v>
      </c>
      <c r="K99" s="1">
        <v>18750</v>
      </c>
      <c r="L99" s="1">
        <v>20000</v>
      </c>
      <c r="M99" s="5">
        <v>-1250</v>
      </c>
    </row>
    <row r="100" spans="1:13" x14ac:dyDescent="0.3">
      <c r="A100" s="4">
        <v>199</v>
      </c>
      <c r="B100" s="2">
        <v>45836</v>
      </c>
      <c r="C100" s="1" t="s">
        <v>136</v>
      </c>
      <c r="D100" s="1" t="s">
        <v>21</v>
      </c>
      <c r="E100" s="1" t="s">
        <v>22</v>
      </c>
      <c r="F100" s="1" t="s">
        <v>16</v>
      </c>
      <c r="G100" s="1">
        <v>2</v>
      </c>
      <c r="H100" s="1">
        <v>2500</v>
      </c>
      <c r="I100" s="3">
        <v>1800</v>
      </c>
      <c r="J100" s="1">
        <v>5</v>
      </c>
      <c r="K100" s="1">
        <v>4750</v>
      </c>
      <c r="L100" s="1">
        <v>3600</v>
      </c>
      <c r="M100" s="5">
        <v>1150</v>
      </c>
    </row>
    <row r="101" spans="1:13" x14ac:dyDescent="0.3">
      <c r="A101" s="9">
        <v>200</v>
      </c>
      <c r="B101" s="10">
        <v>45837</v>
      </c>
      <c r="C101" s="11" t="s">
        <v>137</v>
      </c>
      <c r="D101" s="11" t="s">
        <v>24</v>
      </c>
      <c r="E101" s="11" t="s">
        <v>25</v>
      </c>
      <c r="F101" s="11" t="s">
        <v>16</v>
      </c>
      <c r="G101" s="11">
        <v>2</v>
      </c>
      <c r="H101" s="11">
        <v>1500</v>
      </c>
      <c r="I101" s="12">
        <v>1100</v>
      </c>
      <c r="J101" s="11">
        <v>10</v>
      </c>
      <c r="K101" s="11">
        <v>2700</v>
      </c>
      <c r="L101" s="11">
        <v>2200</v>
      </c>
      <c r="M101" s="13">
        <v>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628E-1A78-43B4-9471-A66664DE0EDC}">
  <dimension ref="A1:R36"/>
  <sheetViews>
    <sheetView showGridLines="0" tabSelected="1" zoomScale="70" zoomScaleNormal="102" workbookViewId="0">
      <selection activeCell="O5" sqref="O5"/>
    </sheetView>
  </sheetViews>
  <sheetFormatPr defaultRowHeight="14.4" x14ac:dyDescent="0.3"/>
  <cols>
    <col min="16" max="16" width="25.21875" customWidth="1"/>
  </cols>
  <sheetData>
    <row r="1" spans="1:18" ht="47.4" x14ac:dyDescent="0.9">
      <c r="A1" t="s">
        <v>156</v>
      </c>
      <c r="M1" s="23" t="s">
        <v>155</v>
      </c>
    </row>
    <row r="2" spans="1:18" x14ac:dyDescent="0.3">
      <c r="M2" s="19"/>
    </row>
    <row r="8" spans="1:18" x14ac:dyDescent="0.3">
      <c r="O8" s="22"/>
      <c r="P8" s="22"/>
    </row>
    <row r="12" spans="1:18" ht="21" x14ac:dyDescent="0.4">
      <c r="B12" s="20" t="s">
        <v>149</v>
      </c>
      <c r="K12" s="20" t="s">
        <v>150</v>
      </c>
      <c r="R12" s="21" t="s">
        <v>151</v>
      </c>
    </row>
    <row r="29" spans="2:11" ht="18" x14ac:dyDescent="0.35">
      <c r="B29" s="21" t="s">
        <v>153</v>
      </c>
      <c r="K29" s="21" t="s">
        <v>152</v>
      </c>
    </row>
    <row r="36" spans="5:5" x14ac:dyDescent="0.3">
      <c r="E36" s="1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219F-B3F7-4FDF-82D3-42700D493038}">
  <dimension ref="A3:D13"/>
  <sheetViews>
    <sheetView workbookViewId="0">
      <selection activeCell="D13" sqref="D13"/>
    </sheetView>
  </sheetViews>
  <sheetFormatPr defaultRowHeight="14.4" x14ac:dyDescent="0.3"/>
  <cols>
    <col min="1" max="1" width="11.5546875" bestFit="1" customWidth="1"/>
    <col min="2" max="2" width="10.77734375" bestFit="1" customWidth="1"/>
    <col min="3" max="3" width="11.5546875" bestFit="1" customWidth="1"/>
    <col min="4" max="4" width="14.21875" bestFit="1" customWidth="1"/>
  </cols>
  <sheetData>
    <row r="3" spans="1:4" x14ac:dyDescent="0.3">
      <c r="A3" t="s">
        <v>140</v>
      </c>
      <c r="B3" t="s">
        <v>142</v>
      </c>
      <c r="C3" t="s">
        <v>141</v>
      </c>
      <c r="D3" t="s">
        <v>143</v>
      </c>
    </row>
    <row r="4" spans="1:4" x14ac:dyDescent="0.3">
      <c r="A4" s="16">
        <v>2259545.25</v>
      </c>
      <c r="B4" s="16">
        <v>2112970</v>
      </c>
      <c r="C4" s="16">
        <v>146575.25</v>
      </c>
      <c r="D4" s="17">
        <v>237</v>
      </c>
    </row>
    <row r="13" spans="1:4" x14ac:dyDescent="0.3">
      <c r="D13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D060-6489-4C33-B3A8-4A0429E2B5A3}">
  <dimension ref="A3:B14"/>
  <sheetViews>
    <sheetView workbookViewId="0">
      <selection activeCell="L15" sqref="L15"/>
    </sheetView>
  </sheetViews>
  <sheetFormatPr defaultRowHeight="14.4" x14ac:dyDescent="0.3"/>
  <cols>
    <col min="1" max="1" width="13.77734375" bestFit="1" customWidth="1"/>
    <col min="2" max="2" width="11.5546875" bestFit="1" customWidth="1"/>
  </cols>
  <sheetData>
    <row r="3" spans="1:2" x14ac:dyDescent="0.3">
      <c r="A3" s="14" t="s">
        <v>138</v>
      </c>
      <c r="B3" t="s">
        <v>140</v>
      </c>
    </row>
    <row r="4" spans="1:2" x14ac:dyDescent="0.3">
      <c r="A4" s="15" t="s">
        <v>98</v>
      </c>
      <c r="B4">
        <v>156750</v>
      </c>
    </row>
    <row r="5" spans="1:2" x14ac:dyDescent="0.3">
      <c r="A5" s="15" t="s">
        <v>74</v>
      </c>
      <c r="B5">
        <v>148500</v>
      </c>
    </row>
    <row r="6" spans="1:2" x14ac:dyDescent="0.3">
      <c r="A6" s="15" t="s">
        <v>110</v>
      </c>
      <c r="B6">
        <v>140250</v>
      </c>
    </row>
    <row r="7" spans="1:2" x14ac:dyDescent="0.3">
      <c r="A7" s="15" t="s">
        <v>86</v>
      </c>
      <c r="B7">
        <v>132000</v>
      </c>
    </row>
    <row r="8" spans="1:2" x14ac:dyDescent="0.3">
      <c r="A8" s="15" t="s">
        <v>62</v>
      </c>
      <c r="B8">
        <v>123750</v>
      </c>
    </row>
    <row r="9" spans="1:2" x14ac:dyDescent="0.3">
      <c r="A9" s="15" t="s">
        <v>50</v>
      </c>
      <c r="B9">
        <v>93500</v>
      </c>
    </row>
    <row r="10" spans="1:2" x14ac:dyDescent="0.3">
      <c r="A10" s="15" t="s">
        <v>63</v>
      </c>
      <c r="B10">
        <v>71250</v>
      </c>
    </row>
    <row r="11" spans="1:2" x14ac:dyDescent="0.3">
      <c r="A11" s="15" t="s">
        <v>99</v>
      </c>
      <c r="B11">
        <v>67500</v>
      </c>
    </row>
    <row r="12" spans="1:2" x14ac:dyDescent="0.3">
      <c r="A12" s="15" t="s">
        <v>75</v>
      </c>
      <c r="B12">
        <v>63750</v>
      </c>
    </row>
    <row r="13" spans="1:2" x14ac:dyDescent="0.3">
      <c r="A13" s="15" t="s">
        <v>111</v>
      </c>
      <c r="B13">
        <v>60000</v>
      </c>
    </row>
    <row r="14" spans="1:2" x14ac:dyDescent="0.3">
      <c r="A14" s="15" t="s">
        <v>139</v>
      </c>
      <c r="B14">
        <v>1057250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9FFF-6670-4380-9E4C-3DD85FBDCDAB}">
  <dimension ref="A3:B12"/>
  <sheetViews>
    <sheetView workbookViewId="0">
      <selection activeCell="K26" sqref="K26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14" t="s">
        <v>138</v>
      </c>
      <c r="B3" t="s">
        <v>140</v>
      </c>
    </row>
    <row r="4" spans="1:2" x14ac:dyDescent="0.3">
      <c r="A4" s="15" t="s">
        <v>14</v>
      </c>
      <c r="B4" s="17">
        <v>601730</v>
      </c>
    </row>
    <row r="5" spans="1:2" x14ac:dyDescent="0.3">
      <c r="A5" s="15" t="s">
        <v>27</v>
      </c>
      <c r="B5" s="17">
        <v>542330</v>
      </c>
    </row>
    <row r="6" spans="1:2" x14ac:dyDescent="0.3">
      <c r="A6" s="15" t="s">
        <v>18</v>
      </c>
      <c r="B6" s="17">
        <v>327522</v>
      </c>
    </row>
    <row r="7" spans="1:2" x14ac:dyDescent="0.3">
      <c r="A7" s="15" t="s">
        <v>30</v>
      </c>
      <c r="B7" s="17">
        <v>287642</v>
      </c>
    </row>
    <row r="8" spans="1:2" x14ac:dyDescent="0.3">
      <c r="A8" s="15" t="s">
        <v>34</v>
      </c>
      <c r="B8" s="17">
        <v>177650</v>
      </c>
    </row>
    <row r="9" spans="1:2" x14ac:dyDescent="0.3">
      <c r="A9" s="15" t="s">
        <v>21</v>
      </c>
      <c r="B9" s="17">
        <v>165171.25</v>
      </c>
    </row>
    <row r="10" spans="1:2" x14ac:dyDescent="0.3">
      <c r="A10" s="15" t="s">
        <v>37</v>
      </c>
      <c r="B10" s="17">
        <v>80850</v>
      </c>
    </row>
    <row r="11" spans="1:2" x14ac:dyDescent="0.3">
      <c r="A11" s="15" t="s">
        <v>24</v>
      </c>
      <c r="B11" s="17">
        <v>76650</v>
      </c>
    </row>
    <row r="12" spans="1:2" x14ac:dyDescent="0.3">
      <c r="A12" s="15" t="s">
        <v>139</v>
      </c>
      <c r="B12" s="17">
        <v>2259545.25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0492-7176-4B59-84CF-CA92916958D8}">
  <dimension ref="A3:B16"/>
  <sheetViews>
    <sheetView workbookViewId="0">
      <selection activeCell="M23" sqref="M23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14" t="s">
        <v>138</v>
      </c>
      <c r="B3" t="s">
        <v>140</v>
      </c>
    </row>
    <row r="4" spans="1:2" x14ac:dyDescent="0.3">
      <c r="A4" s="15" t="s">
        <v>15</v>
      </c>
      <c r="B4">
        <v>940500</v>
      </c>
    </row>
    <row r="5" spans="1:2" x14ac:dyDescent="0.3">
      <c r="A5" s="15" t="s">
        <v>19</v>
      </c>
      <c r="B5">
        <v>421250</v>
      </c>
    </row>
    <row r="6" spans="1:2" x14ac:dyDescent="0.3">
      <c r="A6" s="15" t="s">
        <v>35</v>
      </c>
      <c r="B6">
        <v>297900</v>
      </c>
    </row>
    <row r="7" spans="1:2" x14ac:dyDescent="0.3">
      <c r="A7" s="15" t="s">
        <v>31</v>
      </c>
      <c r="B7">
        <v>192000</v>
      </c>
    </row>
    <row r="8" spans="1:2" x14ac:dyDescent="0.3">
      <c r="A8" s="15" t="s">
        <v>41</v>
      </c>
      <c r="B8">
        <v>190800</v>
      </c>
    </row>
    <row r="9" spans="1:2" x14ac:dyDescent="0.3">
      <c r="A9" s="15" t="s">
        <v>38</v>
      </c>
      <c r="B9">
        <v>98100</v>
      </c>
    </row>
    <row r="10" spans="1:2" x14ac:dyDescent="0.3">
      <c r="A10" s="15" t="s">
        <v>22</v>
      </c>
      <c r="B10">
        <v>44500</v>
      </c>
    </row>
    <row r="11" spans="1:2" x14ac:dyDescent="0.3">
      <c r="A11" s="15" t="s">
        <v>48</v>
      </c>
      <c r="B11">
        <v>32850</v>
      </c>
    </row>
    <row r="12" spans="1:2" x14ac:dyDescent="0.3">
      <c r="A12" s="15" t="s">
        <v>25</v>
      </c>
      <c r="B12">
        <v>26550</v>
      </c>
    </row>
    <row r="13" spans="1:2" x14ac:dyDescent="0.3">
      <c r="A13" s="15" t="s">
        <v>28</v>
      </c>
      <c r="B13">
        <v>12760</v>
      </c>
    </row>
    <row r="14" spans="1:2" x14ac:dyDescent="0.3">
      <c r="A14" s="15" t="s">
        <v>43</v>
      </c>
      <c r="B14">
        <v>1914</v>
      </c>
    </row>
    <row r="15" spans="1:2" x14ac:dyDescent="0.3">
      <c r="A15" s="15" t="s">
        <v>46</v>
      </c>
      <c r="B15">
        <v>421.25</v>
      </c>
    </row>
    <row r="16" spans="1:2" x14ac:dyDescent="0.3">
      <c r="A16" s="15" t="s">
        <v>139</v>
      </c>
      <c r="B16">
        <v>2259545.25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62AF-CDD7-4100-8EB0-0597F60B4412}">
  <dimension ref="A1:B7"/>
  <sheetViews>
    <sheetView workbookViewId="0">
      <selection activeCell="K5" sqref="K5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1" spans="1:2" x14ac:dyDescent="0.3">
      <c r="A1" s="14" t="s">
        <v>138</v>
      </c>
      <c r="B1" t="s">
        <v>141</v>
      </c>
    </row>
    <row r="2" spans="1:2" x14ac:dyDescent="0.3">
      <c r="A2" s="15" t="s">
        <v>16</v>
      </c>
      <c r="B2">
        <v>96610</v>
      </c>
    </row>
    <row r="3" spans="1:2" x14ac:dyDescent="0.3">
      <c r="A3" s="15" t="s">
        <v>39</v>
      </c>
      <c r="B3">
        <v>32400</v>
      </c>
    </row>
    <row r="4" spans="1:2" x14ac:dyDescent="0.3">
      <c r="A4" s="15" t="s">
        <v>32</v>
      </c>
      <c r="B4">
        <v>11500</v>
      </c>
    </row>
    <row r="5" spans="1:2" x14ac:dyDescent="0.3">
      <c r="A5" s="15" t="s">
        <v>49</v>
      </c>
      <c r="B5">
        <v>5550</v>
      </c>
    </row>
    <row r="6" spans="1:2" x14ac:dyDescent="0.3">
      <c r="A6" s="15" t="s">
        <v>44</v>
      </c>
      <c r="B6">
        <v>515.25</v>
      </c>
    </row>
    <row r="7" spans="1:2" x14ac:dyDescent="0.3">
      <c r="A7" s="15" t="s">
        <v>139</v>
      </c>
      <c r="B7">
        <v>146575.25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CB78A-92EA-4870-9A3B-EE1E855AB31B}">
  <dimension ref="A1:B7"/>
  <sheetViews>
    <sheetView workbookViewId="0">
      <selection activeCell="M21" sqref="M21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1" spans="1:2" x14ac:dyDescent="0.3">
      <c r="A1" s="14" t="s">
        <v>138</v>
      </c>
      <c r="B1" t="s">
        <v>140</v>
      </c>
    </row>
    <row r="2" spans="1:2" x14ac:dyDescent="0.3">
      <c r="A2" s="15" t="s">
        <v>148</v>
      </c>
      <c r="B2">
        <v>2259545.25</v>
      </c>
    </row>
    <row r="3" spans="1:2" x14ac:dyDescent="0.3">
      <c r="A3" s="18" t="s">
        <v>144</v>
      </c>
      <c r="B3">
        <v>121065</v>
      </c>
    </row>
    <row r="4" spans="1:2" x14ac:dyDescent="0.3">
      <c r="A4" s="18" t="s">
        <v>145</v>
      </c>
      <c r="B4">
        <v>790097.75</v>
      </c>
    </row>
    <row r="5" spans="1:2" x14ac:dyDescent="0.3">
      <c r="A5" s="18" t="s">
        <v>146</v>
      </c>
      <c r="B5">
        <v>814926.75</v>
      </c>
    </row>
    <row r="6" spans="1:2" x14ac:dyDescent="0.3">
      <c r="A6" s="18" t="s">
        <v>147</v>
      </c>
      <c r="B6">
        <v>533455.75</v>
      </c>
    </row>
    <row r="7" spans="1:2" x14ac:dyDescent="0.3">
      <c r="A7" s="15" t="s">
        <v>139</v>
      </c>
      <c r="B7">
        <v>2259545.25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order Analysis Dataset</vt:lpstr>
      <vt:lpstr>Dashboard</vt:lpstr>
      <vt:lpstr>Overall Business KPIs</vt:lpstr>
      <vt:lpstr>Top 10 Customers</vt:lpstr>
      <vt:lpstr>City-wise Sales</vt:lpstr>
      <vt:lpstr>Product-wise Sales</vt:lpstr>
      <vt:lpstr>Category-wise Profit</vt:lpstr>
      <vt:lpstr>Monthly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</dc:creator>
  <cp:lastModifiedBy>Tarun11122025@outlook.com</cp:lastModifiedBy>
  <dcterms:created xsi:type="dcterms:W3CDTF">2026-07-10T09:02:10Z</dcterms:created>
  <dcterms:modified xsi:type="dcterms:W3CDTF">2026-08-03T22:18:09Z</dcterms:modified>
</cp:coreProperties>
</file>